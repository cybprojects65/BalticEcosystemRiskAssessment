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Baltico_VAE\Multi K-means del VAE\Five spp VAE+mkm\output best unif\"/>
    </mc:Choice>
  </mc:AlternateContent>
  <xr:revisionPtr revIDLastSave="0" documentId="13_ncr:1_{77529FC9-281E-47C5-80C2-040BAB62E29B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all_centroidi_annotated_14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6" i="1" l="1"/>
  <c r="BJ16" i="1"/>
  <c r="BF16" i="1"/>
  <c r="BE16" i="1"/>
  <c r="BA16" i="1"/>
  <c r="AZ16" i="1"/>
  <c r="AV16" i="1"/>
  <c r="AU16" i="1"/>
  <c r="AQ16" i="1"/>
  <c r="AP16" i="1"/>
  <c r="AL16" i="1"/>
  <c r="AK16" i="1"/>
  <c r="AG16" i="1"/>
  <c r="AF16" i="1"/>
  <c r="AB16" i="1"/>
  <c r="AA16" i="1"/>
  <c r="W16" i="1"/>
  <c r="V16" i="1"/>
  <c r="R16" i="1"/>
  <c r="Q16" i="1"/>
  <c r="M16" i="1"/>
  <c r="L16" i="1"/>
  <c r="H16" i="1"/>
  <c r="G16" i="1"/>
  <c r="C16" i="1"/>
  <c r="B16" i="1"/>
  <c r="N7" i="1" l="1"/>
  <c r="AR7" i="1"/>
  <c r="N9" i="1"/>
  <c r="AC13" i="1"/>
  <c r="BG13" i="1"/>
  <c r="D3" i="1"/>
  <c r="AH3" i="1"/>
  <c r="BL3" i="1"/>
  <c r="I5" i="1"/>
  <c r="AM5" i="1"/>
  <c r="N10" i="1"/>
  <c r="N8" i="1"/>
  <c r="N6" i="1"/>
  <c r="AR9" i="1"/>
  <c r="AR8" i="1"/>
  <c r="X11" i="1"/>
  <c r="BB11" i="1"/>
  <c r="AR6" i="1"/>
  <c r="X14" i="1"/>
  <c r="X13" i="1"/>
  <c r="AH7" i="1"/>
  <c r="I8" i="1"/>
  <c r="AH6" i="1"/>
  <c r="I7" i="1"/>
  <c r="AM12" i="1"/>
  <c r="N14" i="1"/>
  <c r="AM9" i="1"/>
  <c r="N13" i="1"/>
  <c r="AR11" i="1"/>
  <c r="S5" i="1"/>
  <c r="AW5" i="1"/>
  <c r="N11" i="1"/>
  <c r="AR10" i="1"/>
  <c r="S9" i="1"/>
  <c r="AW9" i="1"/>
  <c r="X6" i="1"/>
  <c r="X3" i="1"/>
  <c r="AW13" i="1"/>
  <c r="AW12" i="1"/>
  <c r="BB15" i="1"/>
  <c r="D7" i="1"/>
  <c r="AM8" i="1"/>
  <c r="BB14" i="1"/>
  <c r="I6" i="1"/>
  <c r="AM6" i="1"/>
  <c r="D6" i="1"/>
  <c r="S13" i="1"/>
  <c r="AM7" i="1"/>
  <c r="BB13" i="1"/>
  <c r="I12" i="1"/>
  <c r="S12" i="1"/>
  <c r="AR14" i="1"/>
  <c r="BB6" i="1"/>
  <c r="I9" i="1"/>
  <c r="X15" i="1"/>
  <c r="AR13" i="1"/>
  <c r="BB3" i="1"/>
  <c r="BL14" i="1"/>
  <c r="BL13" i="1"/>
  <c r="BL12" i="1"/>
  <c r="BG4" i="1"/>
  <c r="D5" i="1"/>
  <c r="S11" i="1"/>
  <c r="AC15" i="1"/>
  <c r="AH5" i="1"/>
  <c r="AW11" i="1"/>
  <c r="BG15" i="1"/>
  <c r="D14" i="1"/>
  <c r="I2" i="1"/>
  <c r="I4" i="1"/>
  <c r="S8" i="1"/>
  <c r="X10" i="1"/>
  <c r="AC12" i="1"/>
  <c r="AH14" i="1"/>
  <c r="AM2" i="1"/>
  <c r="AM4" i="1"/>
  <c r="AW8" i="1"/>
  <c r="BB10" i="1"/>
  <c r="BG12" i="1"/>
  <c r="D13" i="1"/>
  <c r="I15" i="1"/>
  <c r="I3" i="1"/>
  <c r="N5" i="1"/>
  <c r="S7" i="1"/>
  <c r="X9" i="1"/>
  <c r="AC11" i="1"/>
  <c r="AH13" i="1"/>
  <c r="AM15" i="1"/>
  <c r="AM3" i="1"/>
  <c r="AR5" i="1"/>
  <c r="AW7" i="1"/>
  <c r="BB9" i="1"/>
  <c r="BG11" i="1"/>
  <c r="D12" i="1"/>
  <c r="I14" i="1"/>
  <c r="N2" i="1"/>
  <c r="N4" i="1"/>
  <c r="S6" i="1"/>
  <c r="X8" i="1"/>
  <c r="AC10" i="1"/>
  <c r="AH12" i="1"/>
  <c r="AM14" i="1"/>
  <c r="AR2" i="1"/>
  <c r="AR4" i="1"/>
  <c r="AW6" i="1"/>
  <c r="BB8" i="1"/>
  <c r="BG10" i="1"/>
  <c r="D11" i="1"/>
  <c r="I13" i="1"/>
  <c r="N15" i="1"/>
  <c r="N3" i="1"/>
  <c r="X7" i="1"/>
  <c r="AC9" i="1"/>
  <c r="AH11" i="1"/>
  <c r="AM13" i="1"/>
  <c r="AR15" i="1"/>
  <c r="AR3" i="1"/>
  <c r="BB7" i="1"/>
  <c r="BG9" i="1"/>
  <c r="BL11" i="1"/>
  <c r="BL10" i="1"/>
  <c r="BL9" i="1"/>
  <c r="D10" i="1"/>
  <c r="S2" i="1"/>
  <c r="S4" i="1"/>
  <c r="AC8" i="1"/>
  <c r="AH10" i="1"/>
  <c r="AW2" i="1"/>
  <c r="AW4" i="1"/>
  <c r="BG8" i="1"/>
  <c r="D9" i="1"/>
  <c r="I11" i="1"/>
  <c r="S15" i="1"/>
  <c r="S3" i="1"/>
  <c r="X5" i="1"/>
  <c r="AC7" i="1"/>
  <c r="AH9" i="1"/>
  <c r="AM11" i="1"/>
  <c r="AW15" i="1"/>
  <c r="AW3" i="1"/>
  <c r="BB5" i="1"/>
  <c r="BG7" i="1"/>
  <c r="D8" i="1"/>
  <c r="I10" i="1"/>
  <c r="N12" i="1"/>
  <c r="S14" i="1"/>
  <c r="X2" i="1"/>
  <c r="X4" i="1"/>
  <c r="AC6" i="1"/>
  <c r="AH8" i="1"/>
  <c r="AM10" i="1"/>
  <c r="AR12" i="1"/>
  <c r="AW14" i="1"/>
  <c r="BB2" i="1"/>
  <c r="BB4" i="1"/>
  <c r="BG6" i="1"/>
  <c r="BL8" i="1"/>
  <c r="BL7" i="1"/>
  <c r="BL6" i="1"/>
  <c r="BL5" i="1"/>
  <c r="BL4" i="1"/>
  <c r="AC5" i="1"/>
  <c r="BG5" i="1"/>
  <c r="AC2" i="1"/>
  <c r="AC4" i="1"/>
  <c r="BG2" i="1"/>
  <c r="AC3" i="1"/>
  <c r="BG3" i="1"/>
  <c r="D4" i="1"/>
  <c r="S10" i="1"/>
  <c r="X12" i="1"/>
  <c r="AC14" i="1"/>
  <c r="AH2" i="1"/>
  <c r="AH4" i="1"/>
  <c r="AW10" i="1"/>
  <c r="BB12" i="1"/>
  <c r="BG14" i="1"/>
  <c r="BL2" i="1"/>
  <c r="D15" i="1"/>
  <c r="AH15" i="1"/>
  <c r="BL15" i="1"/>
  <c r="D2" i="1"/>
</calcChain>
</file>

<file path=xl/sharedStrings.xml><?xml version="1.0" encoding="utf-8"?>
<sst xmlns="http://schemas.openxmlformats.org/spreadsheetml/2006/main" count="369" uniqueCount="67">
  <si>
    <t>centroid_id</t>
  </si>
  <si>
    <t>five_spp_cpue_2020_std</t>
  </si>
  <si>
    <t>five_spp_cpue_2020_std_sd</t>
  </si>
  <si>
    <t>five_spp_cpue_2020_std_label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</si>
  <si>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</si>
  <si>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</si>
  <si>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</si>
  <si>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</si>
  <si>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</si>
  <si>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</si>
  <si>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</si>
  <si>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</si>
  <si>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</si>
  <si>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</si>
  <si>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</si>
  <si>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</si>
  <si>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</si>
  <si>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</si>
  <si>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</si>
  <si>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</si>
  <si>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</si>
  <si>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</si>
  <si>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</si>
  <si>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</si>
  <si>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</si>
  <si>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</si>
  <si>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</si>
  <si>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</si>
  <si>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</si>
  <si>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</si>
  <si>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</si>
  <si>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</si>
  <si>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</si>
  <si>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</si>
  <si>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</si>
  <si>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</si>
  <si>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</si>
  <si>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</si>
  <si>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</si>
  <si>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</si>
  <si>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</si>
  <si>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M</t>
  </si>
  <si>
    <t>L</t>
  </si>
  <si>
    <t>H</t>
  </si>
  <si>
    <t>medium attention</t>
  </si>
  <si>
    <t>high attention</t>
  </si>
  <si>
    <t>low attention</t>
  </si>
  <si>
    <t>BIODIVERSITY</t>
  </si>
  <si>
    <t>0 - 0.5 - 1</t>
  </si>
  <si>
    <t>BATHYMETRY</t>
  </si>
  <si>
    <t>TEMPERATURE</t>
  </si>
  <si>
    <t>NPP</t>
  </si>
  <si>
    <t>FISHING</t>
  </si>
  <si>
    <t>fishing</t>
  </si>
  <si>
    <t>SHIP</t>
  </si>
  <si>
    <t>SALINITY</t>
  </si>
  <si>
    <t>salinity</t>
  </si>
  <si>
    <t>OXYGEN</t>
  </si>
  <si>
    <t>DUMPING SITE</t>
  </si>
  <si>
    <t>MILITARY</t>
  </si>
  <si>
    <t>WIND FARM</t>
  </si>
  <si>
    <t>wind farm</t>
  </si>
  <si>
    <t xml:space="preserve">wind farm </t>
  </si>
  <si>
    <t>BEDROCK</t>
  </si>
  <si>
    <t>bedrock</t>
  </si>
  <si>
    <t>HARD BOTTOM</t>
  </si>
  <si>
    <t>ECO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</si>
</sst>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"/>
  <sheetViews>
    <sheetView tabSelected="1" zoomScale="85" zoomScaleNormal="85" workbookViewId="0">
      <selection activeCell="P25" sqref="P25"/>
    </sheetView>
  </sheetViews>
  <sheetFormatPr defaultColWidth="13.19921875" defaultRowHeight="28.9" customHeight="1" x14ac:dyDescent="0.45"/>
  <cols>
    <col min="1" max="1" width="12.6640625" style="1" customWidth="1"/>
    <col min="2" max="2" width="22.33203125" style="1" bestFit="1" customWidth="1"/>
    <col min="3" max="3" width="25.3984375" style="1" bestFit="1" customWidth="1"/>
    <col min="4" max="4" width="16.1328125" style="1" bestFit="1" customWidth="1"/>
    <col min="5" max="5" width="13.19921875" style="1" bestFit="1" customWidth="1"/>
    <col min="6" max="6" width="27.73046875" style="1" bestFit="1" customWidth="1"/>
    <col min="7" max="7" width="19.73046875" style="1" bestFit="1" customWidth="1"/>
    <col min="8" max="8" width="22.796875" style="1" bestFit="1" customWidth="1"/>
    <col min="9" max="9" width="9.73046875" style="1" bestFit="1" customWidth="1"/>
    <col min="10" max="10" width="16.265625" style="1" bestFit="1" customWidth="1"/>
    <col min="11" max="11" width="25.19921875" style="1" bestFit="1" customWidth="1"/>
    <col min="12" max="12" width="28.19921875" style="1" bestFit="1" customWidth="1"/>
    <col min="13" max="13" width="31.265625" style="1" bestFit="1" customWidth="1"/>
    <col min="14" max="14" width="13.796875" style="1" bestFit="1" customWidth="1"/>
    <col min="15" max="15" width="13.53125" style="1" bestFit="1" customWidth="1"/>
    <col min="16" max="16" width="33.6640625" style="1" bestFit="1" customWidth="1"/>
    <col min="17" max="17" width="38.86328125" style="1" bestFit="1" customWidth="1"/>
    <col min="18" max="18" width="41.9296875" style="1" bestFit="1" customWidth="1"/>
    <col min="19" max="19" width="8.53125" style="1" bestFit="1" customWidth="1"/>
    <col min="20" max="20" width="4.59765625" style="1" bestFit="1" customWidth="1"/>
    <col min="21" max="21" width="44.265625" style="1" bestFit="1" customWidth="1"/>
    <col min="22" max="22" width="29.1328125" style="1" bestFit="1" customWidth="1"/>
    <col min="23" max="23" width="32.1328125" style="1" bestFit="1" customWidth="1"/>
    <col min="24" max="24" width="8.53125" style="1" bestFit="1" customWidth="1"/>
    <col min="25" max="25" width="8.265625" style="1" bestFit="1" customWidth="1"/>
    <col min="26" max="26" width="34.53125" style="1" bestFit="1" customWidth="1"/>
    <col min="27" max="27" width="26.53125" style="1" bestFit="1" customWidth="1"/>
    <col min="28" max="28" width="29.59765625" style="1" bestFit="1" customWidth="1"/>
    <col min="29" max="29" width="8.53125" style="1" bestFit="1" customWidth="1"/>
    <col min="30" max="30" width="5.06640625" style="1" bestFit="1" customWidth="1"/>
    <col min="31" max="31" width="31.9296875" style="1" bestFit="1" customWidth="1"/>
    <col min="32" max="32" width="23.53125" style="1" bestFit="1" customWidth="1"/>
    <col min="33" max="33" width="26.59765625" style="1" bestFit="1" customWidth="1"/>
    <col min="34" max="34" width="8.53125" style="1" bestFit="1" customWidth="1"/>
    <col min="35" max="35" width="8.73046875" style="1" bestFit="1" customWidth="1"/>
    <col min="36" max="36" width="28.9296875" style="1" bestFit="1" customWidth="1"/>
    <col min="37" max="37" width="36.33203125" style="1" bestFit="1" customWidth="1"/>
    <col min="38" max="38" width="39.3984375" style="1" bestFit="1" customWidth="1"/>
    <col min="39" max="39" width="8.53125" style="1" bestFit="1" customWidth="1"/>
    <col min="40" max="40" width="8.33203125" style="1" bestFit="1" customWidth="1"/>
    <col min="41" max="41" width="41.796875" style="1" bestFit="1" customWidth="1"/>
    <col min="42" max="42" width="17.9296875" style="1" bestFit="1" customWidth="1"/>
    <col min="43" max="43" width="21" style="1" bestFit="1" customWidth="1"/>
    <col min="44" max="44" width="8.53125" style="1" bestFit="1" customWidth="1"/>
    <col min="45" max="45" width="13.73046875" style="1" bestFit="1" customWidth="1"/>
    <col min="46" max="46" width="23.33203125" style="1" bestFit="1" customWidth="1"/>
    <col min="47" max="47" width="17.59765625" style="1" bestFit="1" customWidth="1"/>
    <col min="48" max="48" width="20.59765625" style="1" bestFit="1" customWidth="1"/>
    <col min="49" max="49" width="8.53125" style="1" bestFit="1" customWidth="1"/>
    <col min="50" max="50" width="9" style="1" bestFit="1" customWidth="1"/>
    <col min="51" max="51" width="23" style="1" bestFit="1" customWidth="1"/>
    <col min="52" max="52" width="15.265625" style="1" bestFit="1" customWidth="1"/>
    <col min="53" max="53" width="18.33203125" style="1" bestFit="1" customWidth="1"/>
    <col min="54" max="54" width="8.53125" style="1" bestFit="1" customWidth="1"/>
    <col min="55" max="55" width="11.265625" style="1" bestFit="1" customWidth="1"/>
    <col min="56" max="56" width="20.6640625" style="1" bestFit="1" customWidth="1"/>
    <col min="57" max="57" width="20.59765625" style="1" bestFit="1" customWidth="1"/>
    <col min="58" max="58" width="23.6640625" style="1" bestFit="1" customWidth="1"/>
    <col min="59" max="59" width="8.53125" style="1" bestFit="1" customWidth="1"/>
    <col min="60" max="60" width="9.46484375" style="1" bestFit="1" customWidth="1"/>
    <col min="61" max="61" width="26.06640625" style="1" bestFit="1" customWidth="1"/>
    <col min="62" max="62" width="24.796875" style="1" bestFit="1" customWidth="1"/>
    <col min="63" max="63" width="27.86328125" style="1" bestFit="1" customWidth="1"/>
    <col min="64" max="64" width="8.53125" style="1" bestFit="1" customWidth="1"/>
    <col min="65" max="65" width="13.796875" style="1" bestFit="1" customWidth="1"/>
    <col min="66" max="66" width="30.265625" style="1" bestFit="1" customWidth="1"/>
    <col min="67" max="67" width="15.33203125" style="1" bestFit="1" customWidth="1"/>
    <col min="68" max="16384" width="13.19921875" style="1"/>
  </cols>
  <sheetData>
    <row r="1" spans="1:67" s="8" customFormat="1" ht="28.9" customHeight="1" x14ac:dyDescent="0.45">
      <c r="A1" s="6" t="s">
        <v>0</v>
      </c>
      <c r="B1" s="5" t="s">
        <v>1</v>
      </c>
      <c r="C1" s="5" t="s">
        <v>2</v>
      </c>
      <c r="D1" s="5" t="s">
        <v>48</v>
      </c>
      <c r="E1" s="5" t="s">
        <v>47</v>
      </c>
      <c r="F1" s="5" t="s">
        <v>3</v>
      </c>
      <c r="G1" s="7" t="s">
        <v>4</v>
      </c>
      <c r="H1" s="7" t="s">
        <v>5</v>
      </c>
      <c r="I1" s="7" t="s">
        <v>48</v>
      </c>
      <c r="J1" s="7" t="s">
        <v>49</v>
      </c>
      <c r="K1" s="7" t="s">
        <v>6</v>
      </c>
      <c r="L1" s="5" t="s">
        <v>7</v>
      </c>
      <c r="M1" s="5" t="s">
        <v>8</v>
      </c>
      <c r="N1" s="5" t="s">
        <v>48</v>
      </c>
      <c r="O1" s="5" t="s">
        <v>50</v>
      </c>
      <c r="P1" s="5" t="s">
        <v>9</v>
      </c>
      <c r="Q1" s="7" t="s">
        <v>10</v>
      </c>
      <c r="R1" s="7" t="s">
        <v>11</v>
      </c>
      <c r="S1" s="7" t="s">
        <v>48</v>
      </c>
      <c r="T1" s="7" t="s">
        <v>51</v>
      </c>
      <c r="U1" s="7" t="s">
        <v>12</v>
      </c>
      <c r="V1" s="5" t="s">
        <v>13</v>
      </c>
      <c r="W1" s="5" t="s">
        <v>14</v>
      </c>
      <c r="X1" s="5" t="s">
        <v>48</v>
      </c>
      <c r="Y1" s="5" t="s">
        <v>52</v>
      </c>
      <c r="Z1" s="5" t="s">
        <v>15</v>
      </c>
      <c r="AA1" s="7" t="s">
        <v>16</v>
      </c>
      <c r="AB1" s="7" t="s">
        <v>17</v>
      </c>
      <c r="AC1" s="7" t="s">
        <v>48</v>
      </c>
      <c r="AD1" s="7" t="s">
        <v>54</v>
      </c>
      <c r="AE1" s="7" t="s">
        <v>18</v>
      </c>
      <c r="AF1" s="5" t="s">
        <v>19</v>
      </c>
      <c r="AG1" s="5" t="s">
        <v>20</v>
      </c>
      <c r="AH1" s="5" t="s">
        <v>48</v>
      </c>
      <c r="AI1" s="5" t="s">
        <v>55</v>
      </c>
      <c r="AJ1" s="5" t="s">
        <v>21</v>
      </c>
      <c r="AK1" s="7" t="s">
        <v>22</v>
      </c>
      <c r="AL1" s="7" t="s">
        <v>23</v>
      </c>
      <c r="AM1" s="7" t="s">
        <v>48</v>
      </c>
      <c r="AN1" s="7" t="s">
        <v>57</v>
      </c>
      <c r="AO1" s="7" t="s">
        <v>24</v>
      </c>
      <c r="AP1" s="5" t="s">
        <v>25</v>
      </c>
      <c r="AQ1" s="5" t="s">
        <v>26</v>
      </c>
      <c r="AR1" s="5" t="s">
        <v>48</v>
      </c>
      <c r="AS1" s="5" t="s">
        <v>58</v>
      </c>
      <c r="AT1" s="5" t="s">
        <v>27</v>
      </c>
      <c r="AU1" s="7" t="s">
        <v>28</v>
      </c>
      <c r="AV1" s="7" t="s">
        <v>29</v>
      </c>
      <c r="AW1" s="7" t="s">
        <v>48</v>
      </c>
      <c r="AX1" s="7" t="s">
        <v>59</v>
      </c>
      <c r="AY1" s="7" t="s">
        <v>30</v>
      </c>
      <c r="AZ1" s="5" t="s">
        <v>31</v>
      </c>
      <c r="BA1" s="5" t="s">
        <v>32</v>
      </c>
      <c r="BB1" s="5" t="s">
        <v>48</v>
      </c>
      <c r="BC1" s="5" t="s">
        <v>60</v>
      </c>
      <c r="BD1" s="5" t="s">
        <v>33</v>
      </c>
      <c r="BE1" s="7" t="s">
        <v>34</v>
      </c>
      <c r="BF1" s="7" t="s">
        <v>35</v>
      </c>
      <c r="BG1" s="7" t="s">
        <v>48</v>
      </c>
      <c r="BH1" s="7" t="s">
        <v>63</v>
      </c>
      <c r="BI1" s="7" t="s">
        <v>36</v>
      </c>
      <c r="BJ1" s="5" t="s">
        <v>37</v>
      </c>
      <c r="BK1" s="5" t="s">
        <v>38</v>
      </c>
      <c r="BL1" s="5" t="s">
        <v>48</v>
      </c>
      <c r="BM1" s="5" t="s">
        <v>65</v>
      </c>
      <c r="BN1" s="5" t="s">
        <v>39</v>
      </c>
      <c r="BO1" s="6" t="s">
        <v>40</v>
      </c>
    </row>
    <row r="2" spans="1:67" ht="28.9" customHeight="1" x14ac:dyDescent="0.45">
      <c r="A2" s="2">
        <v>1</v>
      </c>
      <c r="B2" s="3">
        <v>0.13789363164285701</v>
      </c>
      <c r="C2" s="3">
        <v>0.76297061472518002</v>
      </c>
      <c r="D2" s="3">
        <f>IF(B2 &gt; $B$16 + $C$16, 1, IF(B2 &gt;= $B$16 + $C$16/2, 0.5, 0))</f>
        <v>0</v>
      </c>
      <c r="E2" s="3"/>
      <c r="F2" s="3" t="s">
        <v>41</v>
      </c>
      <c r="G2" s="4">
        <v>0.84540194997619</v>
      </c>
      <c r="H2" s="4">
        <v>0.54452853579341098</v>
      </c>
      <c r="I2" s="4">
        <f>IF(G2 &gt; $G$16 + $H$16, 1, IF(G2 &gt;= $G$16 + $H$16/2, 0.5, 0))</f>
        <v>1</v>
      </c>
      <c r="J2" s="4" t="s">
        <v>49</v>
      </c>
      <c r="K2" s="4" t="s">
        <v>41</v>
      </c>
      <c r="L2" s="3">
        <v>-0.76039190983333305</v>
      </c>
      <c r="M2" s="3">
        <v>0.49857895740042502</v>
      </c>
      <c r="N2" s="3">
        <f>IF(L2 &gt; $L$16 + $M$16, 1, IF(L2 &gt;= $L$16 + $M$16/2, 0.5, 0))</f>
        <v>0</v>
      </c>
      <c r="O2" s="3"/>
      <c r="P2" s="3" t="s">
        <v>42</v>
      </c>
      <c r="Q2" s="4">
        <v>0.18254893276190501</v>
      </c>
      <c r="R2" s="4">
        <v>0.54866443265445197</v>
      </c>
      <c r="S2" s="4">
        <f>IF(Q2 &gt; $Q$16 + $R$16, 1, IF(Q2 &gt;= $Q$16 + $R$16/2, 0.5, 0))</f>
        <v>0</v>
      </c>
      <c r="T2" s="4"/>
      <c r="U2" s="4" t="s">
        <v>43</v>
      </c>
      <c r="V2" s="3">
        <v>3.18857541238095</v>
      </c>
      <c r="W2" s="3">
        <v>1.41557742068925</v>
      </c>
      <c r="X2" s="3">
        <f>IF(V2 &gt; $V$16 + $W$16, 1, IF(V2 &gt;= $V$16 + $W$16/2, 0.5, 0))</f>
        <v>1</v>
      </c>
      <c r="Y2" s="3" t="s">
        <v>52</v>
      </c>
      <c r="Z2" s="3" t="s">
        <v>43</v>
      </c>
      <c r="AA2" s="4">
        <v>-0.142202781666667</v>
      </c>
      <c r="AB2" s="4">
        <v>0.32042588691347401</v>
      </c>
      <c r="AC2" s="4">
        <f>IF(AA2 &gt; $AA$16 + $AB$16, 1, IF(AA2 &gt;= $AA$16 + $AB$16/2, 0.5, 0))</f>
        <v>0</v>
      </c>
      <c r="AD2" s="4"/>
      <c r="AE2" s="4" t="s">
        <v>41</v>
      </c>
      <c r="AF2" s="3">
        <v>-0.43998377752381002</v>
      </c>
      <c r="AG2" s="3">
        <v>0.21623915603917099</v>
      </c>
      <c r="AH2" s="3">
        <f>IF(AF2 &gt; $AF$16 + $AG$16, 1, IF(AF2 &gt;= $AF$16 + $AG$16/2, 0.5, 0))</f>
        <v>0</v>
      </c>
      <c r="AI2" s="3"/>
      <c r="AJ2" s="3" t="s">
        <v>42</v>
      </c>
      <c r="AK2" s="4">
        <v>0.36890459114285701</v>
      </c>
      <c r="AL2" s="4">
        <v>0.61840411410788299</v>
      </c>
      <c r="AM2" s="4">
        <f>IF(AK2 &gt; $AK$16 + $AL$16, 1, IF(AK2 &gt;= $AK$16 + $AL$16/2, 0.5, 0))</f>
        <v>1</v>
      </c>
      <c r="AN2" s="4" t="s">
        <v>57</v>
      </c>
      <c r="AO2" s="4" t="s">
        <v>41</v>
      </c>
      <c r="AP2" s="3">
        <v>0.14285714285714299</v>
      </c>
      <c r="AQ2" s="3">
        <v>0.35416880166057302</v>
      </c>
      <c r="AR2" s="3">
        <f>IF(AP2 &gt; $AP$16 + $AQ$16, 1, IF(AP2 &gt;= $AP$16 + $AQ$16/2, 0.5, 0))</f>
        <v>0</v>
      </c>
      <c r="AS2" s="3"/>
      <c r="AT2" s="3" t="s">
        <v>43</v>
      </c>
      <c r="AU2" s="4">
        <v>0.119047619047619</v>
      </c>
      <c r="AV2" s="4">
        <v>0.32777006756156801</v>
      </c>
      <c r="AW2" s="4">
        <f>IF(AU2 &gt; $AU$16 + $AV$16, 1, IF(AU2 &gt;= $AU$16 + $AV$16/2, 0.5, 0))</f>
        <v>0</v>
      </c>
      <c r="AX2" s="4"/>
      <c r="AY2" s="4" t="s">
        <v>41</v>
      </c>
      <c r="AZ2" s="3">
        <v>0</v>
      </c>
      <c r="BA2" s="3">
        <v>0</v>
      </c>
      <c r="BB2" s="3">
        <f>IF(AZ2 &gt; $AZ$16 + $BA$16, 1, IF(AZ2 &gt;= $AZ$16 + $BA$16/2, 0.5, 0))</f>
        <v>0</v>
      </c>
      <c r="BC2" s="3"/>
      <c r="BD2" s="3" t="s">
        <v>41</v>
      </c>
      <c r="BE2" s="4">
        <v>0</v>
      </c>
      <c r="BF2" s="4">
        <v>0</v>
      </c>
      <c r="BG2" s="4">
        <f>IF(BE2 &gt; $BE$16 + $BF$16, 1, IF(BE2 &gt;= $BE$16 + $BF$16/2, 0.5, 0))</f>
        <v>0</v>
      </c>
      <c r="BH2" s="4"/>
      <c r="BI2" s="4" t="s">
        <v>41</v>
      </c>
      <c r="BJ2" s="3">
        <v>0</v>
      </c>
      <c r="BK2" s="3">
        <v>0</v>
      </c>
      <c r="BL2" s="3">
        <f>IF(BJ2 &gt; $BJ$16 + $BK$16, 1, IF(BJ2 &gt;= $BJ$16 + $BK$16/2, 0.5, 0))</f>
        <v>0</v>
      </c>
      <c r="BM2" s="3"/>
      <c r="BN2" s="3" t="s">
        <v>41</v>
      </c>
      <c r="BO2" s="2" t="s">
        <v>44</v>
      </c>
    </row>
    <row r="3" spans="1:67" ht="28.9" customHeight="1" x14ac:dyDescent="0.45">
      <c r="A3" s="9">
        <v>2</v>
      </c>
      <c r="B3" s="9">
        <v>1.15891280107143</v>
      </c>
      <c r="C3" s="9">
        <v>0.72663579501745601</v>
      </c>
      <c r="D3" s="9">
        <f t="shared" ref="D3:D15" si="0">IF(B3 &gt; $B$16 + $C$16, 1, IF(B3 &gt;= $B$16 + $C$16/2, 0.5, 0))</f>
        <v>1</v>
      </c>
      <c r="E3" s="9" t="s">
        <v>47</v>
      </c>
      <c r="F3" s="9" t="s">
        <v>43</v>
      </c>
      <c r="G3" s="9">
        <v>1.3099028835119</v>
      </c>
      <c r="H3" s="9">
        <v>0.35602495807142998</v>
      </c>
      <c r="I3" s="9">
        <f t="shared" ref="I3:I15" si="1">IF(G3 &gt; $G$16 + $H$16, 1, IF(G3 &gt;= $G$16 + $H$16/2, 0.5, 0))</f>
        <v>1</v>
      </c>
      <c r="J3" s="9" t="s">
        <v>49</v>
      </c>
      <c r="K3" s="9" t="s">
        <v>43</v>
      </c>
      <c r="L3" s="9">
        <v>-0.34436320159523798</v>
      </c>
      <c r="M3" s="9">
        <v>0.31736567882300998</v>
      </c>
      <c r="N3" s="9">
        <f t="shared" ref="N3:N15" si="2">IF(L3 &gt; $L$16 + $M$16, 1, IF(L3 &gt;= $L$16 + $M$16/2, 0.5, 0))</f>
        <v>0</v>
      </c>
      <c r="O3" s="9"/>
      <c r="P3" s="9" t="s">
        <v>42</v>
      </c>
      <c r="Q3" s="9">
        <v>-0.221889483940476</v>
      </c>
      <c r="R3" s="9">
        <v>0.137577344171643</v>
      </c>
      <c r="S3" s="9">
        <f t="shared" ref="S3:S15" si="3">IF(Q3 &gt; $Q$16 + $R$16, 1, IF(Q3 &gt;= $Q$16 + $R$16/2, 0.5, 0))</f>
        <v>0</v>
      </c>
      <c r="T3" s="9"/>
      <c r="U3" s="9" t="s">
        <v>41</v>
      </c>
      <c r="V3" s="9">
        <v>0.54286638214285698</v>
      </c>
      <c r="W3" s="9">
        <v>0.59290680953932795</v>
      </c>
      <c r="X3" s="9">
        <f t="shared" ref="X3:X15" si="4">IF(V3 &gt; $V$16 + $W$16, 1, IF(V3 &gt;= $V$16 + $W$16/2, 0.5, 0))</f>
        <v>0.5</v>
      </c>
      <c r="Y3" s="9" t="s">
        <v>53</v>
      </c>
      <c r="Z3" s="9" t="s">
        <v>43</v>
      </c>
      <c r="AA3" s="9">
        <v>-0.20058220541666699</v>
      </c>
      <c r="AB3" s="9">
        <v>0.43663810714282902</v>
      </c>
      <c r="AC3" s="9">
        <f t="shared" ref="AC3:AC15" si="5">IF(AA3 &gt; $AA$16 + $AB$16, 1, IF(AA3 &gt;= $AA$16 + $AB$16/2, 0.5, 0))</f>
        <v>0</v>
      </c>
      <c r="AD3" s="9"/>
      <c r="AE3" s="9" t="s">
        <v>41</v>
      </c>
      <c r="AF3" s="9">
        <v>6.7383068404762006E-2</v>
      </c>
      <c r="AG3" s="9">
        <v>0.22993788037299501</v>
      </c>
      <c r="AH3" s="9">
        <f t="shared" ref="AH3:AH15" si="6">IF(AF3 &gt; $AF$16 + $AG$16, 1, IF(AF3 &gt;= $AF$16 + $AG$16/2, 0.5, 0))</f>
        <v>0.5</v>
      </c>
      <c r="AI3" s="9" t="s">
        <v>56</v>
      </c>
      <c r="AJ3" s="9" t="s">
        <v>41</v>
      </c>
      <c r="AK3" s="9">
        <v>1.1686513195595201</v>
      </c>
      <c r="AL3" s="9">
        <v>0.44126490891199799</v>
      </c>
      <c r="AM3" s="9">
        <f t="shared" ref="AM3:AM15" si="7">IF(AK3 &gt; $AK$16 + $AL$16, 1, IF(AK3 &gt;= $AK$16 + $AL$16/2, 0.5, 0))</f>
        <v>1</v>
      </c>
      <c r="AN3" s="9" t="s">
        <v>57</v>
      </c>
      <c r="AO3" s="9" t="s">
        <v>43</v>
      </c>
      <c r="AP3" s="9">
        <v>0.72619047619047605</v>
      </c>
      <c r="AQ3" s="9">
        <v>0.44859057664018398</v>
      </c>
      <c r="AR3" s="9">
        <f t="shared" ref="AR3:AR15" si="8">IF(AP3 &gt; $AP$16 + $AQ$16, 1, IF(AP3 &gt;= $AP$16 + $AQ$16/2, 0.5, 0))</f>
        <v>1</v>
      </c>
      <c r="AS3" s="9" t="s">
        <v>58</v>
      </c>
      <c r="AT3" s="9" t="s">
        <v>43</v>
      </c>
      <c r="AU3" s="9">
        <v>0.547619047619048</v>
      </c>
      <c r="AV3" s="9">
        <v>0.500716640757637</v>
      </c>
      <c r="AW3" s="9">
        <f t="shared" ref="AW3:AW15" si="9">IF(AU3 &gt; $AU$16 + $AV$16, 1, IF(AU3 &gt;= $AU$16 + $AV$16/2, 0.5, 0))</f>
        <v>1</v>
      </c>
      <c r="AX3" s="9" t="s">
        <v>59</v>
      </c>
      <c r="AY3" s="9" t="s">
        <v>41</v>
      </c>
      <c r="AZ3" s="9">
        <v>0</v>
      </c>
      <c r="BA3" s="9">
        <v>0</v>
      </c>
      <c r="BB3" s="9">
        <f t="shared" ref="BB3:BB15" si="10">IF(AZ3 &gt; $AZ$16 + $BA$16, 1, IF(AZ3 &gt;= $AZ$16 + $BA$16/2, 0.5, 0))</f>
        <v>0</v>
      </c>
      <c r="BC3" s="9"/>
      <c r="BD3" s="9" t="s">
        <v>41</v>
      </c>
      <c r="BE3" s="9">
        <v>0</v>
      </c>
      <c r="BF3" s="9">
        <v>0</v>
      </c>
      <c r="BG3" s="9">
        <f t="shared" ref="BG3:BG15" si="11">IF(BE3 &gt; $BE$16 + $BF$16, 1, IF(BE3 &gt;= $BE$16 + $BF$16/2, 0.5, 0))</f>
        <v>0</v>
      </c>
      <c r="BH3" s="9"/>
      <c r="BI3" s="9" t="s">
        <v>41</v>
      </c>
      <c r="BJ3" s="9">
        <v>0</v>
      </c>
      <c r="BK3" s="9">
        <v>0</v>
      </c>
      <c r="BL3" s="9">
        <f t="shared" ref="BL3:BL15" si="12">IF(BJ3 &gt; $BJ$16 + $BK$16, 1, IF(BJ3 &gt;= $BJ$16 + $BK$16/2, 0.5, 0))</f>
        <v>0</v>
      </c>
      <c r="BM3" s="9"/>
      <c r="BN3" s="9" t="s">
        <v>41</v>
      </c>
      <c r="BO3" s="9" t="s">
        <v>44</v>
      </c>
    </row>
    <row r="4" spans="1:67" ht="28.9" customHeight="1" x14ac:dyDescent="0.45">
      <c r="A4" s="9">
        <v>3</v>
      </c>
      <c r="B4" s="9">
        <v>0.98108810355999998</v>
      </c>
      <c r="C4" s="9">
        <v>0.88252827812427004</v>
      </c>
      <c r="D4" s="9">
        <f t="shared" si="0"/>
        <v>1</v>
      </c>
      <c r="E4" s="9" t="s">
        <v>47</v>
      </c>
      <c r="F4" s="9" t="s">
        <v>43</v>
      </c>
      <c r="G4" s="9">
        <v>-0.16949629699999999</v>
      </c>
      <c r="H4" s="9">
        <v>0.46267465125601498</v>
      </c>
      <c r="I4" s="9">
        <f t="shared" si="1"/>
        <v>0</v>
      </c>
      <c r="J4" s="9"/>
      <c r="K4" s="9" t="s">
        <v>42</v>
      </c>
      <c r="L4" s="9">
        <v>-0.15496025435999999</v>
      </c>
      <c r="M4" s="9">
        <v>0.54899835651285001</v>
      </c>
      <c r="N4" s="9">
        <f t="shared" si="2"/>
        <v>0</v>
      </c>
      <c r="O4" s="9"/>
      <c r="P4" s="9" t="s">
        <v>42</v>
      </c>
      <c r="Q4" s="9">
        <v>2.0826026859999999E-2</v>
      </c>
      <c r="R4" s="9">
        <v>0.55574233114107696</v>
      </c>
      <c r="S4" s="9">
        <f t="shared" si="3"/>
        <v>0</v>
      </c>
      <c r="T4" s="9"/>
      <c r="U4" s="9" t="s">
        <v>43</v>
      </c>
      <c r="V4" s="9">
        <v>0.53160075389999994</v>
      </c>
      <c r="W4" s="9">
        <v>0.90061244317539701</v>
      </c>
      <c r="X4" s="9">
        <f t="shared" si="4"/>
        <v>0.5</v>
      </c>
      <c r="Y4" s="9" t="s">
        <v>53</v>
      </c>
      <c r="Z4" s="9" t="s">
        <v>43</v>
      </c>
      <c r="AA4" s="9">
        <v>-0.21811429016</v>
      </c>
      <c r="AB4" s="9">
        <v>0.43087408635574598</v>
      </c>
      <c r="AC4" s="9">
        <f t="shared" si="5"/>
        <v>0</v>
      </c>
      <c r="AD4" s="9"/>
      <c r="AE4" s="9" t="s">
        <v>41</v>
      </c>
      <c r="AF4" s="9">
        <v>-0.59919035675999999</v>
      </c>
      <c r="AG4" s="9">
        <v>0.22374886291648899</v>
      </c>
      <c r="AH4" s="9">
        <f t="shared" si="6"/>
        <v>0</v>
      </c>
      <c r="AI4" s="9"/>
      <c r="AJ4" s="9" t="s">
        <v>42</v>
      </c>
      <c r="AK4" s="9">
        <v>-0.50082304066000005</v>
      </c>
      <c r="AL4" s="9">
        <v>0.34463619430893799</v>
      </c>
      <c r="AM4" s="9">
        <f t="shared" si="7"/>
        <v>0</v>
      </c>
      <c r="AN4" s="9"/>
      <c r="AO4" s="9" t="s">
        <v>42</v>
      </c>
      <c r="AP4" s="9">
        <v>0.08</v>
      </c>
      <c r="AQ4" s="9">
        <v>0.27404751561787</v>
      </c>
      <c r="AR4" s="9">
        <f t="shared" si="8"/>
        <v>0</v>
      </c>
      <c r="AS4" s="9"/>
      <c r="AT4" s="9" t="s">
        <v>43</v>
      </c>
      <c r="AU4" s="9">
        <v>0.14000000000000001</v>
      </c>
      <c r="AV4" s="9">
        <v>0.35050983275386599</v>
      </c>
      <c r="AW4" s="9">
        <f t="shared" si="9"/>
        <v>0</v>
      </c>
      <c r="AX4" s="9"/>
      <c r="AY4" s="9" t="s">
        <v>41</v>
      </c>
      <c r="AZ4" s="9">
        <v>0.42</v>
      </c>
      <c r="BA4" s="9">
        <v>0.49856938190328998</v>
      </c>
      <c r="BB4" s="9">
        <f t="shared" si="10"/>
        <v>1</v>
      </c>
      <c r="BC4" s="9" t="s">
        <v>60</v>
      </c>
      <c r="BD4" s="9" t="s">
        <v>43</v>
      </c>
      <c r="BE4" s="9">
        <v>0.02</v>
      </c>
      <c r="BF4" s="9">
        <v>0.14142135623731</v>
      </c>
      <c r="BG4" s="9">
        <f t="shared" si="11"/>
        <v>0.5</v>
      </c>
      <c r="BH4" s="9" t="s">
        <v>64</v>
      </c>
      <c r="BI4" s="9" t="s">
        <v>43</v>
      </c>
      <c r="BJ4" s="9">
        <v>0.32</v>
      </c>
      <c r="BK4" s="9">
        <v>0.471212071499161</v>
      </c>
      <c r="BL4" s="9">
        <f t="shared" si="12"/>
        <v>1</v>
      </c>
      <c r="BM4" s="9" t="s">
        <v>65</v>
      </c>
      <c r="BN4" s="9" t="s">
        <v>43</v>
      </c>
      <c r="BO4" s="9" t="s">
        <v>45</v>
      </c>
    </row>
    <row r="5" spans="1:67" ht="28.9" customHeight="1" x14ac:dyDescent="0.45">
      <c r="A5" s="9">
        <v>4</v>
      </c>
      <c r="B5" s="9">
        <v>5.2207909353428601</v>
      </c>
      <c r="C5" s="9">
        <v>1.9108562331525301</v>
      </c>
      <c r="D5" s="9">
        <f t="shared" si="0"/>
        <v>1</v>
      </c>
      <c r="E5" s="9" t="s">
        <v>47</v>
      </c>
      <c r="F5" s="9" t="s">
        <v>43</v>
      </c>
      <c r="G5" s="9">
        <v>0.58162170391428603</v>
      </c>
      <c r="H5" s="9">
        <v>0.79388748012826205</v>
      </c>
      <c r="I5" s="9">
        <f t="shared" si="1"/>
        <v>1</v>
      </c>
      <c r="J5" s="9" t="s">
        <v>49</v>
      </c>
      <c r="K5" s="9" t="s">
        <v>41</v>
      </c>
      <c r="L5" s="9">
        <v>-0.55823835568571401</v>
      </c>
      <c r="M5" s="9">
        <v>0.81685119830304498</v>
      </c>
      <c r="N5" s="9">
        <f t="shared" si="2"/>
        <v>0</v>
      </c>
      <c r="O5" s="9"/>
      <c r="P5" s="9" t="s">
        <v>42</v>
      </c>
      <c r="Q5" s="9">
        <v>-0.104772951057143</v>
      </c>
      <c r="R5" s="9">
        <v>0.201913383845332</v>
      </c>
      <c r="S5" s="9">
        <f t="shared" si="3"/>
        <v>0</v>
      </c>
      <c r="T5" s="9"/>
      <c r="U5" s="9" t="s">
        <v>41</v>
      </c>
      <c r="V5" s="9">
        <v>-6.4252053428571404E-2</v>
      </c>
      <c r="W5" s="9">
        <v>0.58343977198570296</v>
      </c>
      <c r="X5" s="9">
        <f t="shared" si="4"/>
        <v>0</v>
      </c>
      <c r="Y5" s="9"/>
      <c r="Z5" s="9" t="s">
        <v>41</v>
      </c>
      <c r="AA5" s="9">
        <v>-2.42870111142857E-2</v>
      </c>
      <c r="AB5" s="9">
        <v>0.98914353426521995</v>
      </c>
      <c r="AC5" s="9">
        <f t="shared" si="5"/>
        <v>0</v>
      </c>
      <c r="AD5" s="9"/>
      <c r="AE5" s="9" t="s">
        <v>43</v>
      </c>
      <c r="AF5" s="9">
        <v>-0.132154577771429</v>
      </c>
      <c r="AG5" s="9">
        <v>0.68716692087314901</v>
      </c>
      <c r="AH5" s="9">
        <f t="shared" si="6"/>
        <v>0</v>
      </c>
      <c r="AI5" s="9"/>
      <c r="AJ5" s="9" t="s">
        <v>41</v>
      </c>
      <c r="AK5" s="9">
        <v>0.201676674628571</v>
      </c>
      <c r="AL5" s="9">
        <v>0.50324288240419202</v>
      </c>
      <c r="AM5" s="9">
        <f t="shared" si="7"/>
        <v>1</v>
      </c>
      <c r="AN5" s="9" t="s">
        <v>57</v>
      </c>
      <c r="AO5" s="9" t="s">
        <v>41</v>
      </c>
      <c r="AP5" s="9">
        <v>2.8571428571428598E-2</v>
      </c>
      <c r="AQ5" s="9">
        <v>0.169030850945703</v>
      </c>
      <c r="AR5" s="9">
        <f t="shared" si="8"/>
        <v>0</v>
      </c>
      <c r="AS5" s="9"/>
      <c r="AT5" s="9" t="s">
        <v>43</v>
      </c>
      <c r="AU5" s="9">
        <v>5.7142857142857099E-2</v>
      </c>
      <c r="AV5" s="9">
        <v>0.23550410797680299</v>
      </c>
      <c r="AW5" s="9">
        <f t="shared" si="9"/>
        <v>0</v>
      </c>
      <c r="AX5" s="9"/>
      <c r="AY5" s="9" t="s">
        <v>41</v>
      </c>
      <c r="AZ5" s="9">
        <v>0</v>
      </c>
      <c r="BA5" s="9">
        <v>0</v>
      </c>
      <c r="BB5" s="9">
        <f t="shared" si="10"/>
        <v>0</v>
      </c>
      <c r="BC5" s="9"/>
      <c r="BD5" s="9" t="s">
        <v>41</v>
      </c>
      <c r="BE5" s="9">
        <v>0</v>
      </c>
      <c r="BF5" s="9">
        <v>0</v>
      </c>
      <c r="BG5" s="9">
        <f t="shared" si="11"/>
        <v>0</v>
      </c>
      <c r="BH5" s="9"/>
      <c r="BI5" s="9" t="s">
        <v>41</v>
      </c>
      <c r="BJ5" s="9">
        <v>8.5714285714285701E-2</v>
      </c>
      <c r="BK5" s="9">
        <v>0.28402864099869102</v>
      </c>
      <c r="BL5" s="9">
        <f t="shared" si="12"/>
        <v>0</v>
      </c>
      <c r="BM5" s="9"/>
      <c r="BN5" s="9" t="s">
        <v>43</v>
      </c>
      <c r="BO5" s="9" t="s">
        <v>44</v>
      </c>
    </row>
    <row r="6" spans="1:67" ht="28.9" customHeight="1" x14ac:dyDescent="0.45">
      <c r="A6" s="2">
        <v>5</v>
      </c>
      <c r="B6" s="3">
        <v>-0.28186215225899303</v>
      </c>
      <c r="C6" s="3">
        <v>0.249023294328234</v>
      </c>
      <c r="D6" s="3">
        <f t="shared" si="0"/>
        <v>0</v>
      </c>
      <c r="E6" s="3"/>
      <c r="F6" s="3" t="s">
        <v>42</v>
      </c>
      <c r="G6" s="4">
        <v>-8.6848388043165498E-2</v>
      </c>
      <c r="H6" s="4">
        <v>0.32054975347297698</v>
      </c>
      <c r="I6" s="4">
        <f t="shared" si="1"/>
        <v>0</v>
      </c>
      <c r="J6" s="4"/>
      <c r="K6" s="4" t="s">
        <v>42</v>
      </c>
      <c r="L6" s="3">
        <v>-0.849321395302159</v>
      </c>
      <c r="M6" s="3">
        <v>0.46037968522088801</v>
      </c>
      <c r="N6" s="3">
        <f t="shared" si="2"/>
        <v>0</v>
      </c>
      <c r="O6" s="3"/>
      <c r="P6" s="3" t="s">
        <v>42</v>
      </c>
      <c r="Q6" s="4">
        <v>-0.26331408157553898</v>
      </c>
      <c r="R6" s="4">
        <v>9.8259842237392106E-2</v>
      </c>
      <c r="S6" s="4">
        <f t="shared" si="3"/>
        <v>0</v>
      </c>
      <c r="T6" s="4"/>
      <c r="U6" s="4" t="s">
        <v>42</v>
      </c>
      <c r="V6" s="3">
        <v>-0.35231081497122302</v>
      </c>
      <c r="W6" s="3">
        <v>0.26443040571802001</v>
      </c>
      <c r="X6" s="3">
        <f t="shared" si="4"/>
        <v>0</v>
      </c>
      <c r="Y6" s="3"/>
      <c r="Z6" s="3" t="s">
        <v>42</v>
      </c>
      <c r="AA6" s="4">
        <v>-0.256798900906475</v>
      </c>
      <c r="AB6" s="4">
        <v>0.30419565891745598</v>
      </c>
      <c r="AC6" s="4">
        <f t="shared" si="5"/>
        <v>0</v>
      </c>
      <c r="AD6" s="4"/>
      <c r="AE6" s="4" t="s">
        <v>41</v>
      </c>
      <c r="AF6" s="3">
        <v>-0.75464284796402803</v>
      </c>
      <c r="AG6" s="3">
        <v>0.111585460199138</v>
      </c>
      <c r="AH6" s="3">
        <f t="shared" si="6"/>
        <v>0</v>
      </c>
      <c r="AI6" s="3"/>
      <c r="AJ6" s="3" t="s">
        <v>42</v>
      </c>
      <c r="AK6" s="4">
        <v>-0.57290794639568299</v>
      </c>
      <c r="AL6" s="4">
        <v>0.28077948064756703</v>
      </c>
      <c r="AM6" s="4">
        <f t="shared" si="7"/>
        <v>0</v>
      </c>
      <c r="AN6" s="4"/>
      <c r="AO6" s="4" t="s">
        <v>42</v>
      </c>
      <c r="AP6" s="3">
        <v>0.15827338129496399</v>
      </c>
      <c r="AQ6" s="3">
        <v>0.366317214354836</v>
      </c>
      <c r="AR6" s="3">
        <f t="shared" si="8"/>
        <v>0</v>
      </c>
      <c r="AS6" s="3"/>
      <c r="AT6" s="3" t="s">
        <v>43</v>
      </c>
      <c r="AU6" s="4">
        <v>0.46043165467625902</v>
      </c>
      <c r="AV6" s="4">
        <v>0.50023453992377398</v>
      </c>
      <c r="AW6" s="4">
        <f t="shared" si="9"/>
        <v>1</v>
      </c>
      <c r="AX6" s="4" t="s">
        <v>59</v>
      </c>
      <c r="AY6" s="4" t="s">
        <v>41</v>
      </c>
      <c r="AZ6" s="3">
        <v>0.31654676258992798</v>
      </c>
      <c r="BA6" s="3">
        <v>0.46681112499661198</v>
      </c>
      <c r="BB6" s="3">
        <f t="shared" si="10"/>
        <v>1</v>
      </c>
      <c r="BC6" s="3" t="s">
        <v>60</v>
      </c>
      <c r="BD6" s="3" t="s">
        <v>43</v>
      </c>
      <c r="BE6" s="4">
        <v>0</v>
      </c>
      <c r="BF6" s="4">
        <v>0</v>
      </c>
      <c r="BG6" s="4">
        <f t="shared" si="11"/>
        <v>0</v>
      </c>
      <c r="BH6" s="4"/>
      <c r="BI6" s="4" t="s">
        <v>41</v>
      </c>
      <c r="BJ6" s="3">
        <v>0.215827338129496</v>
      </c>
      <c r="BK6" s="3">
        <v>0.41288293473808702</v>
      </c>
      <c r="BL6" s="3">
        <f t="shared" si="12"/>
        <v>0</v>
      </c>
      <c r="BM6" s="3"/>
      <c r="BN6" s="3" t="s">
        <v>43</v>
      </c>
      <c r="BO6" s="2" t="s">
        <v>46</v>
      </c>
    </row>
    <row r="7" spans="1:67" ht="28.9" customHeight="1" x14ac:dyDescent="0.45">
      <c r="A7" s="2">
        <v>6</v>
      </c>
      <c r="B7" s="3">
        <v>6.5924968948051901E-2</v>
      </c>
      <c r="C7" s="3">
        <v>0.315744639594009</v>
      </c>
      <c r="D7" s="3">
        <f t="shared" si="0"/>
        <v>0</v>
      </c>
      <c r="E7" s="3"/>
      <c r="F7" s="3" t="s">
        <v>41</v>
      </c>
      <c r="G7" s="4">
        <v>-0.41849175612987</v>
      </c>
      <c r="H7" s="4">
        <v>0.42372660032758103</v>
      </c>
      <c r="I7" s="4">
        <f t="shared" si="1"/>
        <v>0</v>
      </c>
      <c r="J7" s="4"/>
      <c r="K7" s="4" t="s">
        <v>42</v>
      </c>
      <c r="L7" s="3">
        <v>1.003325853</v>
      </c>
      <c r="M7" s="3">
        <v>0.17533886606049201</v>
      </c>
      <c r="N7" s="3">
        <f t="shared" si="2"/>
        <v>1</v>
      </c>
      <c r="O7" s="3" t="s">
        <v>50</v>
      </c>
      <c r="P7" s="3" t="s">
        <v>43</v>
      </c>
      <c r="Q7" s="4">
        <v>-0.12411171076623401</v>
      </c>
      <c r="R7" s="4">
        <v>0.103233602905151</v>
      </c>
      <c r="S7" s="4">
        <f t="shared" si="3"/>
        <v>0</v>
      </c>
      <c r="T7" s="4"/>
      <c r="U7" s="4" t="s">
        <v>41</v>
      </c>
      <c r="V7" s="3">
        <v>-0.11825026353246799</v>
      </c>
      <c r="W7" s="3">
        <v>0.40999808710461499</v>
      </c>
      <c r="X7" s="3">
        <f t="shared" si="4"/>
        <v>0</v>
      </c>
      <c r="Y7" s="3"/>
      <c r="Z7" s="3" t="s">
        <v>41</v>
      </c>
      <c r="AA7" s="4">
        <v>6.5292360623376594E-2</v>
      </c>
      <c r="AB7" s="4">
        <v>0.61828071289640096</v>
      </c>
      <c r="AC7" s="4">
        <f t="shared" si="5"/>
        <v>0</v>
      </c>
      <c r="AD7" s="4"/>
      <c r="AE7" s="4" t="s">
        <v>43</v>
      </c>
      <c r="AF7" s="3">
        <v>0.37186308627272702</v>
      </c>
      <c r="AG7" s="3">
        <v>0.38360091801263801</v>
      </c>
      <c r="AH7" s="3">
        <f t="shared" si="6"/>
        <v>1</v>
      </c>
      <c r="AI7" s="3" t="s">
        <v>55</v>
      </c>
      <c r="AJ7" s="3" t="s">
        <v>43</v>
      </c>
      <c r="AK7" s="4">
        <v>-0.243706381896104</v>
      </c>
      <c r="AL7" s="4">
        <v>0.21570114069048399</v>
      </c>
      <c r="AM7" s="4">
        <f t="shared" si="7"/>
        <v>0</v>
      </c>
      <c r="AN7" s="4"/>
      <c r="AO7" s="4" t="s">
        <v>41</v>
      </c>
      <c r="AP7" s="3">
        <v>3.8961038961039002E-2</v>
      </c>
      <c r="AQ7" s="3">
        <v>0.194771015456777</v>
      </c>
      <c r="AR7" s="3">
        <f t="shared" si="8"/>
        <v>0</v>
      </c>
      <c r="AS7" s="3"/>
      <c r="AT7" s="3" t="s">
        <v>43</v>
      </c>
      <c r="AU7" s="4">
        <v>0.85714285714285698</v>
      </c>
      <c r="AV7" s="4">
        <v>0.35222173467283302</v>
      </c>
      <c r="AW7" s="4">
        <f t="shared" si="9"/>
        <v>1</v>
      </c>
      <c r="AX7" s="4" t="s">
        <v>59</v>
      </c>
      <c r="AY7" s="4" t="s">
        <v>41</v>
      </c>
      <c r="AZ7" s="3">
        <v>0.18181818181818199</v>
      </c>
      <c r="BA7" s="3">
        <v>0.38822377998943097</v>
      </c>
      <c r="BB7" s="3">
        <f t="shared" si="10"/>
        <v>0</v>
      </c>
      <c r="BC7" s="3"/>
      <c r="BD7" s="3" t="s">
        <v>43</v>
      </c>
      <c r="BE7" s="4">
        <v>0</v>
      </c>
      <c r="BF7" s="4">
        <v>0</v>
      </c>
      <c r="BG7" s="4">
        <f t="shared" si="11"/>
        <v>0</v>
      </c>
      <c r="BH7" s="4"/>
      <c r="BI7" s="4" t="s">
        <v>41</v>
      </c>
      <c r="BJ7" s="3">
        <v>9.0909090909090898E-2</v>
      </c>
      <c r="BK7" s="3">
        <v>0.289364920846097</v>
      </c>
      <c r="BL7" s="3">
        <f t="shared" si="12"/>
        <v>0</v>
      </c>
      <c r="BM7" s="3"/>
      <c r="BN7" s="3" t="s">
        <v>43</v>
      </c>
      <c r="BO7" s="2" t="s">
        <v>44</v>
      </c>
    </row>
    <row r="8" spans="1:67" ht="28.9" customHeight="1" x14ac:dyDescent="0.45">
      <c r="A8" s="2">
        <v>7</v>
      </c>
      <c r="B8" s="3">
        <v>-0.33826111312500001</v>
      </c>
      <c r="C8" s="3">
        <v>3.2551772951447601E-2</v>
      </c>
      <c r="D8" s="3">
        <f t="shared" si="0"/>
        <v>0</v>
      </c>
      <c r="E8" s="3"/>
      <c r="F8" s="3" t="s">
        <v>42</v>
      </c>
      <c r="G8" s="4">
        <v>-1.3986047537499999</v>
      </c>
      <c r="H8" s="4">
        <v>2.1057798251372401E-2</v>
      </c>
      <c r="I8" s="4">
        <f t="shared" si="1"/>
        <v>0</v>
      </c>
      <c r="J8" s="4"/>
      <c r="K8" s="4" t="s">
        <v>42</v>
      </c>
      <c r="L8" s="3">
        <v>1.147324367</v>
      </c>
      <c r="M8" s="3">
        <v>7.45012454555843E-2</v>
      </c>
      <c r="N8" s="3">
        <f t="shared" si="2"/>
        <v>1</v>
      </c>
      <c r="O8" s="3" t="s">
        <v>50</v>
      </c>
      <c r="P8" s="3" t="s">
        <v>43</v>
      </c>
      <c r="Q8" s="4">
        <v>9.1345514971875001</v>
      </c>
      <c r="R8" s="4">
        <v>0.432343383042603</v>
      </c>
      <c r="S8" s="4">
        <f t="shared" si="3"/>
        <v>1</v>
      </c>
      <c r="T8" s="4" t="s">
        <v>51</v>
      </c>
      <c r="U8" s="4" t="s">
        <v>43</v>
      </c>
      <c r="V8" s="3">
        <v>-0.52159150300000001</v>
      </c>
      <c r="W8" s="3">
        <v>0</v>
      </c>
      <c r="X8" s="3">
        <f t="shared" si="4"/>
        <v>0</v>
      </c>
      <c r="Y8" s="3"/>
      <c r="Z8" s="3" t="s">
        <v>42</v>
      </c>
      <c r="AA8" s="4">
        <v>-0.3928664381875</v>
      </c>
      <c r="AB8" s="4">
        <v>1.2906923250000001E-2</v>
      </c>
      <c r="AC8" s="4">
        <f t="shared" si="5"/>
        <v>0</v>
      </c>
      <c r="AD8" s="4"/>
      <c r="AE8" s="4" t="s">
        <v>42</v>
      </c>
      <c r="AF8" s="3">
        <v>-1.7567951753125</v>
      </c>
      <c r="AG8" s="3">
        <v>0.12810664445888401</v>
      </c>
      <c r="AH8" s="3">
        <f t="shared" si="6"/>
        <v>0</v>
      </c>
      <c r="AI8" s="3"/>
      <c r="AJ8" s="3" t="s">
        <v>42</v>
      </c>
      <c r="AK8" s="4">
        <v>-1.0189444135000001</v>
      </c>
      <c r="AL8" s="4">
        <v>3.0243714923830101E-2</v>
      </c>
      <c r="AM8" s="4">
        <f t="shared" si="7"/>
        <v>0</v>
      </c>
      <c r="AN8" s="4"/>
      <c r="AO8" s="4" t="s">
        <v>42</v>
      </c>
      <c r="AP8" s="3">
        <v>0</v>
      </c>
      <c r="AQ8" s="3">
        <v>0</v>
      </c>
      <c r="AR8" s="3">
        <f t="shared" si="8"/>
        <v>0</v>
      </c>
      <c r="AS8" s="3"/>
      <c r="AT8" s="3" t="s">
        <v>41</v>
      </c>
      <c r="AU8" s="4">
        <v>0</v>
      </c>
      <c r="AV8" s="4">
        <v>0</v>
      </c>
      <c r="AW8" s="4">
        <f t="shared" si="9"/>
        <v>0</v>
      </c>
      <c r="AX8" s="4"/>
      <c r="AY8" s="4" t="s">
        <v>41</v>
      </c>
      <c r="AZ8" s="3">
        <v>0</v>
      </c>
      <c r="BA8" s="3">
        <v>0</v>
      </c>
      <c r="BB8" s="3">
        <f t="shared" si="10"/>
        <v>0</v>
      </c>
      <c r="BC8" s="3"/>
      <c r="BD8" s="3" t="s">
        <v>41</v>
      </c>
      <c r="BE8" s="4">
        <v>0</v>
      </c>
      <c r="BF8" s="4">
        <v>0</v>
      </c>
      <c r="BG8" s="4">
        <f t="shared" si="11"/>
        <v>0</v>
      </c>
      <c r="BH8" s="4"/>
      <c r="BI8" s="4" t="s">
        <v>41</v>
      </c>
      <c r="BJ8" s="3">
        <v>0</v>
      </c>
      <c r="BK8" s="3">
        <v>0</v>
      </c>
      <c r="BL8" s="3">
        <f t="shared" si="12"/>
        <v>0</v>
      </c>
      <c r="BM8" s="3"/>
      <c r="BN8" s="3" t="s">
        <v>41</v>
      </c>
      <c r="BO8" s="2" t="s">
        <v>46</v>
      </c>
    </row>
    <row r="9" spans="1:67" ht="28.9" customHeight="1" x14ac:dyDescent="0.45">
      <c r="A9" s="2">
        <v>8</v>
      </c>
      <c r="B9" s="3">
        <v>-0.23264292751562499</v>
      </c>
      <c r="C9" s="3">
        <v>0.30449088335826502</v>
      </c>
      <c r="D9" s="3">
        <f t="shared" si="0"/>
        <v>0</v>
      </c>
      <c r="E9" s="3"/>
      <c r="F9" s="3" t="s">
        <v>41</v>
      </c>
      <c r="G9" s="4">
        <v>-0.877684671359375</v>
      </c>
      <c r="H9" s="4">
        <v>0.32016772426950602</v>
      </c>
      <c r="I9" s="4">
        <f t="shared" si="1"/>
        <v>0</v>
      </c>
      <c r="J9" s="4"/>
      <c r="K9" s="4" t="s">
        <v>42</v>
      </c>
      <c r="L9" s="3">
        <v>1.1693158936406201</v>
      </c>
      <c r="M9" s="3">
        <v>0.28549271956695998</v>
      </c>
      <c r="N9" s="3">
        <f t="shared" si="2"/>
        <v>1</v>
      </c>
      <c r="O9" s="3" t="s">
        <v>50</v>
      </c>
      <c r="P9" s="3" t="s">
        <v>43</v>
      </c>
      <c r="Q9" s="4">
        <v>-6.2917198609375002E-2</v>
      </c>
      <c r="R9" s="4">
        <v>0.15990428671658299</v>
      </c>
      <c r="S9" s="4">
        <f t="shared" si="3"/>
        <v>0</v>
      </c>
      <c r="T9" s="4"/>
      <c r="U9" s="4" t="s">
        <v>43</v>
      </c>
      <c r="V9" s="3">
        <v>-0.36566196481250002</v>
      </c>
      <c r="W9" s="3">
        <v>0.26994204406801198</v>
      </c>
      <c r="X9" s="3">
        <f t="shared" si="4"/>
        <v>0</v>
      </c>
      <c r="Y9" s="3"/>
      <c r="Z9" s="3" t="s">
        <v>42</v>
      </c>
      <c r="AA9" s="4">
        <v>-0.20550251787500001</v>
      </c>
      <c r="AB9" s="4">
        <v>0.370577808399433</v>
      </c>
      <c r="AC9" s="4">
        <f t="shared" si="5"/>
        <v>0</v>
      </c>
      <c r="AD9" s="4"/>
      <c r="AE9" s="4" t="s">
        <v>41</v>
      </c>
      <c r="AF9" s="3">
        <v>-0.22348707242187499</v>
      </c>
      <c r="AG9" s="3">
        <v>0.45362471966961498</v>
      </c>
      <c r="AH9" s="3">
        <f t="shared" si="6"/>
        <v>0</v>
      </c>
      <c r="AI9" s="3"/>
      <c r="AJ9" s="3" t="s">
        <v>41</v>
      </c>
      <c r="AK9" s="4">
        <v>-0.70612930234375004</v>
      </c>
      <c r="AL9" s="4">
        <v>0.13874794990247</v>
      </c>
      <c r="AM9" s="4">
        <f t="shared" si="7"/>
        <v>0</v>
      </c>
      <c r="AN9" s="4"/>
      <c r="AO9" s="4" t="s">
        <v>42</v>
      </c>
      <c r="AP9" s="3">
        <v>7.8125E-2</v>
      </c>
      <c r="AQ9" s="3">
        <v>0.27048970875004202</v>
      </c>
      <c r="AR9" s="3">
        <f t="shared" si="8"/>
        <v>0</v>
      </c>
      <c r="AS9" s="3"/>
      <c r="AT9" s="3" t="s">
        <v>43</v>
      </c>
      <c r="AU9" s="4">
        <v>4.6875E-2</v>
      </c>
      <c r="AV9" s="4">
        <v>0.21304202581158699</v>
      </c>
      <c r="AW9" s="4">
        <f t="shared" si="9"/>
        <v>0</v>
      </c>
      <c r="AX9" s="4"/>
      <c r="AY9" s="4" t="s">
        <v>41</v>
      </c>
      <c r="AZ9" s="3">
        <v>0.21875</v>
      </c>
      <c r="BA9" s="3">
        <v>0.41666666666666702</v>
      </c>
      <c r="BB9" s="3">
        <f t="shared" si="10"/>
        <v>0.5</v>
      </c>
      <c r="BC9" s="3" t="s">
        <v>61</v>
      </c>
      <c r="BD9" s="3" t="s">
        <v>43</v>
      </c>
      <c r="BE9" s="4">
        <v>4.6875E-2</v>
      </c>
      <c r="BF9" s="4">
        <v>0.21304202581158699</v>
      </c>
      <c r="BG9" s="4">
        <f t="shared" si="11"/>
        <v>1</v>
      </c>
      <c r="BH9" s="4" t="s">
        <v>63</v>
      </c>
      <c r="BI9" s="4" t="s">
        <v>43</v>
      </c>
      <c r="BJ9" s="3">
        <v>0.75</v>
      </c>
      <c r="BK9" s="3">
        <v>0.436435780471985</v>
      </c>
      <c r="BL9" s="3">
        <f t="shared" si="12"/>
        <v>1</v>
      </c>
      <c r="BM9" s="3" t="s">
        <v>65</v>
      </c>
      <c r="BN9" s="3" t="s">
        <v>43</v>
      </c>
      <c r="BO9" s="2" t="s">
        <v>45</v>
      </c>
    </row>
    <row r="10" spans="1:67" ht="28.9" customHeight="1" x14ac:dyDescent="0.45">
      <c r="A10" s="2">
        <v>9</v>
      </c>
      <c r="B10" s="3">
        <v>-0.336149007090909</v>
      </c>
      <c r="C10" s="3">
        <v>0.143059122765545</v>
      </c>
      <c r="D10" s="3">
        <f t="shared" si="0"/>
        <v>0</v>
      </c>
      <c r="E10" s="3"/>
      <c r="F10" s="3" t="s">
        <v>42</v>
      </c>
      <c r="G10" s="4">
        <v>-0.95487875810909095</v>
      </c>
      <c r="H10" s="4">
        <v>0.23266458580957899</v>
      </c>
      <c r="I10" s="4">
        <f t="shared" si="1"/>
        <v>0</v>
      </c>
      <c r="J10" s="4"/>
      <c r="K10" s="4" t="s">
        <v>42</v>
      </c>
      <c r="L10" s="3">
        <v>1.1136692862181801</v>
      </c>
      <c r="M10" s="3">
        <v>0.190648597719834</v>
      </c>
      <c r="N10" s="3">
        <f t="shared" si="2"/>
        <v>1</v>
      </c>
      <c r="O10" s="3" t="s">
        <v>50</v>
      </c>
      <c r="P10" s="3" t="s">
        <v>43</v>
      </c>
      <c r="Q10" s="4">
        <v>-0.23468676978181799</v>
      </c>
      <c r="R10" s="4">
        <v>0.260120706135268</v>
      </c>
      <c r="S10" s="4">
        <f t="shared" si="3"/>
        <v>0</v>
      </c>
      <c r="T10" s="4"/>
      <c r="U10" s="4" t="s">
        <v>41</v>
      </c>
      <c r="V10" s="3">
        <v>-0.288643357709091</v>
      </c>
      <c r="W10" s="3">
        <v>0.49261905396398997</v>
      </c>
      <c r="X10" s="3">
        <f t="shared" si="4"/>
        <v>0</v>
      </c>
      <c r="Y10" s="3"/>
      <c r="Z10" s="3" t="s">
        <v>41</v>
      </c>
      <c r="AA10" s="4">
        <v>-0.24286659398181801</v>
      </c>
      <c r="AB10" s="4">
        <v>0.30732925587984</v>
      </c>
      <c r="AC10" s="4">
        <f t="shared" si="5"/>
        <v>0</v>
      </c>
      <c r="AD10" s="4"/>
      <c r="AE10" s="4" t="s">
        <v>41</v>
      </c>
      <c r="AF10" s="3">
        <v>1.57731140176364</v>
      </c>
      <c r="AG10" s="3">
        <v>0.41686566507360101</v>
      </c>
      <c r="AH10" s="3">
        <f t="shared" si="6"/>
        <v>1</v>
      </c>
      <c r="AI10" s="3" t="s">
        <v>55</v>
      </c>
      <c r="AJ10" s="3" t="s">
        <v>43</v>
      </c>
      <c r="AK10" s="4">
        <v>-0.46002332932727302</v>
      </c>
      <c r="AL10" s="4">
        <v>0.16684116684973899</v>
      </c>
      <c r="AM10" s="4">
        <f t="shared" si="7"/>
        <v>0</v>
      </c>
      <c r="AN10" s="4"/>
      <c r="AO10" s="4" t="s">
        <v>42</v>
      </c>
      <c r="AP10" s="3">
        <v>1.8181818181818198E-2</v>
      </c>
      <c r="AQ10" s="3">
        <v>0.13483997249264801</v>
      </c>
      <c r="AR10" s="3">
        <f t="shared" si="8"/>
        <v>0</v>
      </c>
      <c r="AS10" s="3"/>
      <c r="AT10" s="3" t="s">
        <v>43</v>
      </c>
      <c r="AU10" s="4">
        <v>9.0909090909090898E-2</v>
      </c>
      <c r="AV10" s="4">
        <v>0.29012942659282998</v>
      </c>
      <c r="AW10" s="4">
        <f t="shared" si="9"/>
        <v>0</v>
      </c>
      <c r="AX10" s="4"/>
      <c r="AY10" s="4" t="s">
        <v>41</v>
      </c>
      <c r="AZ10" s="3">
        <v>0.4</v>
      </c>
      <c r="BA10" s="3">
        <v>0.49441323247304397</v>
      </c>
      <c r="BB10" s="3">
        <f t="shared" si="10"/>
        <v>1</v>
      </c>
      <c r="BC10" s="3" t="s">
        <v>60</v>
      </c>
      <c r="BD10" s="3" t="s">
        <v>43</v>
      </c>
      <c r="BE10" s="4">
        <v>0</v>
      </c>
      <c r="BF10" s="4">
        <v>0</v>
      </c>
      <c r="BG10" s="4">
        <f t="shared" si="11"/>
        <v>0</v>
      </c>
      <c r="BH10" s="4"/>
      <c r="BI10" s="4" t="s">
        <v>41</v>
      </c>
      <c r="BJ10" s="3">
        <v>0.54545454545454497</v>
      </c>
      <c r="BK10" s="3">
        <v>0.50251890762960605</v>
      </c>
      <c r="BL10" s="3">
        <f t="shared" si="12"/>
        <v>1</v>
      </c>
      <c r="BM10" s="3" t="s">
        <v>65</v>
      </c>
      <c r="BN10" s="3" t="s">
        <v>43</v>
      </c>
      <c r="BO10" s="2" t="s">
        <v>44</v>
      </c>
    </row>
    <row r="11" spans="1:67" ht="28.9" customHeight="1" x14ac:dyDescent="0.45">
      <c r="A11" s="2">
        <v>10</v>
      </c>
      <c r="B11" s="3">
        <v>-0.54278797425000003</v>
      </c>
      <c r="C11" s="3">
        <v>0.11838266784244</v>
      </c>
      <c r="D11" s="3">
        <f t="shared" si="0"/>
        <v>0</v>
      </c>
      <c r="E11" s="3"/>
      <c r="F11" s="3" t="s">
        <v>42</v>
      </c>
      <c r="G11" s="4">
        <v>2.1586371312299999</v>
      </c>
      <c r="H11" s="4">
        <v>0.54615486784978495</v>
      </c>
      <c r="I11" s="4">
        <f t="shared" si="1"/>
        <v>1</v>
      </c>
      <c r="J11" s="4" t="s">
        <v>49</v>
      </c>
      <c r="K11" s="4" t="s">
        <v>43</v>
      </c>
      <c r="L11" s="3">
        <v>-1.0995193670000001</v>
      </c>
      <c r="M11" s="3">
        <v>0.25215953528011797</v>
      </c>
      <c r="N11" s="3">
        <f t="shared" si="2"/>
        <v>0</v>
      </c>
      <c r="O11" s="3"/>
      <c r="P11" s="3" t="s">
        <v>42</v>
      </c>
      <c r="Q11" s="4">
        <v>-0.33778264800000002</v>
      </c>
      <c r="R11" s="4">
        <v>0.119102916628101</v>
      </c>
      <c r="S11" s="4">
        <f t="shared" si="3"/>
        <v>0</v>
      </c>
      <c r="T11" s="4"/>
      <c r="U11" s="4" t="s">
        <v>42</v>
      </c>
      <c r="V11" s="3">
        <v>-0.21962766349000001</v>
      </c>
      <c r="W11" s="3">
        <v>0.49886815432008003</v>
      </c>
      <c r="X11" s="3">
        <f t="shared" si="4"/>
        <v>0</v>
      </c>
      <c r="Y11" s="3"/>
      <c r="Z11" s="3" t="s">
        <v>41</v>
      </c>
      <c r="AA11" s="4">
        <v>-0.22918387497000001</v>
      </c>
      <c r="AB11" s="4">
        <v>0.28736755976219802</v>
      </c>
      <c r="AC11" s="4">
        <f t="shared" si="5"/>
        <v>0</v>
      </c>
      <c r="AD11" s="4"/>
      <c r="AE11" s="4" t="s">
        <v>41</v>
      </c>
      <c r="AF11" s="3">
        <v>-0.31398943372999999</v>
      </c>
      <c r="AG11" s="3">
        <v>8.5862554499713098E-2</v>
      </c>
      <c r="AH11" s="3">
        <f t="shared" si="6"/>
        <v>0</v>
      </c>
      <c r="AI11" s="3"/>
      <c r="AJ11" s="3" t="s">
        <v>42</v>
      </c>
      <c r="AK11" s="4">
        <v>2.6705187161600001</v>
      </c>
      <c r="AL11" s="4">
        <v>0.80313725393150903</v>
      </c>
      <c r="AM11" s="4">
        <f t="shared" si="7"/>
        <v>1</v>
      </c>
      <c r="AN11" s="4" t="s">
        <v>57</v>
      </c>
      <c r="AO11" s="4" t="s">
        <v>43</v>
      </c>
      <c r="AP11" s="3">
        <v>0.36</v>
      </c>
      <c r="AQ11" s="3">
        <v>0.48241815132442201</v>
      </c>
      <c r="AR11" s="3">
        <f t="shared" si="8"/>
        <v>1</v>
      </c>
      <c r="AS11" s="3" t="s">
        <v>58</v>
      </c>
      <c r="AT11" s="3" t="s">
        <v>43</v>
      </c>
      <c r="AU11" s="4">
        <v>7.0000000000000007E-2</v>
      </c>
      <c r="AV11" s="4">
        <v>0.25643239997624301</v>
      </c>
      <c r="AW11" s="4">
        <f t="shared" si="9"/>
        <v>0</v>
      </c>
      <c r="AX11" s="4"/>
      <c r="AY11" s="4" t="s">
        <v>41</v>
      </c>
      <c r="AZ11" s="3">
        <v>0.03</v>
      </c>
      <c r="BA11" s="3">
        <v>0.17144660799776501</v>
      </c>
      <c r="BB11" s="3">
        <f t="shared" si="10"/>
        <v>0</v>
      </c>
      <c r="BC11" s="3"/>
      <c r="BD11" s="3" t="s">
        <v>43</v>
      </c>
      <c r="BE11" s="4">
        <v>0</v>
      </c>
      <c r="BF11" s="4">
        <v>0</v>
      </c>
      <c r="BG11" s="4">
        <f t="shared" si="11"/>
        <v>0</v>
      </c>
      <c r="BH11" s="4"/>
      <c r="BI11" s="4" t="s">
        <v>41</v>
      </c>
      <c r="BJ11" s="3">
        <v>0</v>
      </c>
      <c r="BK11" s="3">
        <v>0</v>
      </c>
      <c r="BL11" s="3">
        <f t="shared" si="12"/>
        <v>0</v>
      </c>
      <c r="BM11" s="3"/>
      <c r="BN11" s="3" t="s">
        <v>41</v>
      </c>
      <c r="BO11" s="2" t="s">
        <v>44</v>
      </c>
    </row>
    <row r="12" spans="1:67" ht="28.9" customHeight="1" x14ac:dyDescent="0.45">
      <c r="A12" s="2">
        <v>11</v>
      </c>
      <c r="B12" s="3">
        <v>0.343524548428571</v>
      </c>
      <c r="C12" s="3">
        <v>1.22355568171357</v>
      </c>
      <c r="D12" s="3">
        <f t="shared" si="0"/>
        <v>0</v>
      </c>
      <c r="E12" s="3"/>
      <c r="F12" s="3" t="s">
        <v>43</v>
      </c>
      <c r="G12" s="4">
        <v>-0.30124876746428603</v>
      </c>
      <c r="H12" s="4">
        <v>0.648670925549655</v>
      </c>
      <c r="I12" s="4">
        <f t="shared" si="1"/>
        <v>0</v>
      </c>
      <c r="J12" s="4"/>
      <c r="K12" s="4" t="s">
        <v>42</v>
      </c>
      <c r="L12" s="3">
        <v>0.68006832760714298</v>
      </c>
      <c r="M12" s="3">
        <v>0.67617663866202304</v>
      </c>
      <c r="N12" s="3">
        <f t="shared" si="2"/>
        <v>1</v>
      </c>
      <c r="O12" s="3" t="s">
        <v>50</v>
      </c>
      <c r="P12" s="3" t="s">
        <v>41</v>
      </c>
      <c r="Q12" s="4">
        <v>-0.15401362083928599</v>
      </c>
      <c r="R12" s="4">
        <v>0.265297018409969</v>
      </c>
      <c r="S12" s="4">
        <f t="shared" si="3"/>
        <v>0</v>
      </c>
      <c r="T12" s="4"/>
      <c r="U12" s="4" t="s">
        <v>41</v>
      </c>
      <c r="V12" s="3">
        <v>8.6171561428571297E-3</v>
      </c>
      <c r="W12" s="3">
        <v>0.82032769195456301</v>
      </c>
      <c r="X12" s="3">
        <f t="shared" si="4"/>
        <v>0</v>
      </c>
      <c r="Y12" s="3"/>
      <c r="Z12" s="3" t="s">
        <v>41</v>
      </c>
      <c r="AA12" s="4">
        <v>4.49084486892857</v>
      </c>
      <c r="AB12" s="4">
        <v>1.83535830453049</v>
      </c>
      <c r="AC12" s="4">
        <f t="shared" si="5"/>
        <v>1</v>
      </c>
      <c r="AD12" s="4" t="s">
        <v>54</v>
      </c>
      <c r="AE12" s="4" t="s">
        <v>43</v>
      </c>
      <c r="AF12" s="3">
        <v>0.69795530671428596</v>
      </c>
      <c r="AG12" s="3">
        <v>0.93563557568790701</v>
      </c>
      <c r="AH12" s="3">
        <f t="shared" si="6"/>
        <v>1</v>
      </c>
      <c r="AI12" s="3" t="s">
        <v>55</v>
      </c>
      <c r="AJ12" s="3" t="s">
        <v>43</v>
      </c>
      <c r="AK12" s="4">
        <v>-0.20311114003571401</v>
      </c>
      <c r="AL12" s="4">
        <v>0.36571998680074402</v>
      </c>
      <c r="AM12" s="4">
        <f t="shared" si="7"/>
        <v>0</v>
      </c>
      <c r="AN12" s="4"/>
      <c r="AO12" s="4" t="s">
        <v>41</v>
      </c>
      <c r="AP12" s="3">
        <v>8.9285714285714302E-2</v>
      </c>
      <c r="AQ12" s="3">
        <v>0.28773635118317598</v>
      </c>
      <c r="AR12" s="3">
        <f t="shared" si="8"/>
        <v>0</v>
      </c>
      <c r="AS12" s="3"/>
      <c r="AT12" s="3" t="s">
        <v>43</v>
      </c>
      <c r="AU12" s="4">
        <v>0.160714285714286</v>
      </c>
      <c r="AV12" s="4">
        <v>0.37059096364814698</v>
      </c>
      <c r="AW12" s="4">
        <f t="shared" si="9"/>
        <v>0</v>
      </c>
      <c r="AX12" s="4"/>
      <c r="AY12" s="4" t="s">
        <v>41</v>
      </c>
      <c r="AZ12" s="3">
        <v>8.9285714285714302E-2</v>
      </c>
      <c r="BA12" s="3">
        <v>0.28773635118317598</v>
      </c>
      <c r="BB12" s="3">
        <f t="shared" si="10"/>
        <v>0</v>
      </c>
      <c r="BC12" s="3"/>
      <c r="BD12" s="3" t="s">
        <v>43</v>
      </c>
      <c r="BE12" s="4">
        <v>0</v>
      </c>
      <c r="BF12" s="4">
        <v>0</v>
      </c>
      <c r="BG12" s="4">
        <f t="shared" si="11"/>
        <v>0</v>
      </c>
      <c r="BH12" s="4"/>
      <c r="BI12" s="4" t="s">
        <v>41</v>
      </c>
      <c r="BJ12" s="3">
        <v>0.160714285714286</v>
      </c>
      <c r="BK12" s="3">
        <v>0.37059096364814698</v>
      </c>
      <c r="BL12" s="3">
        <f t="shared" si="12"/>
        <v>0</v>
      </c>
      <c r="BM12" s="3"/>
      <c r="BN12" s="3" t="s">
        <v>43</v>
      </c>
      <c r="BO12" s="2" t="s">
        <v>44</v>
      </c>
    </row>
    <row r="13" spans="1:67" ht="28.9" customHeight="1" x14ac:dyDescent="0.45">
      <c r="A13" s="2">
        <v>12</v>
      </c>
      <c r="B13" s="3">
        <v>-0.197335019697917</v>
      </c>
      <c r="C13" s="3">
        <v>0.36031495198728503</v>
      </c>
      <c r="D13" s="3">
        <f t="shared" si="0"/>
        <v>0</v>
      </c>
      <c r="E13" s="3"/>
      <c r="F13" s="3" t="s">
        <v>41</v>
      </c>
      <c r="G13" s="4">
        <v>-0.81001083146874997</v>
      </c>
      <c r="H13" s="4">
        <v>0.25513582263166801</v>
      </c>
      <c r="I13" s="4">
        <f t="shared" si="1"/>
        <v>0</v>
      </c>
      <c r="J13" s="4"/>
      <c r="K13" s="4" t="s">
        <v>42</v>
      </c>
      <c r="L13" s="3">
        <v>0.46330604917708301</v>
      </c>
      <c r="M13" s="3">
        <v>0.46683402406561297</v>
      </c>
      <c r="N13" s="3">
        <f t="shared" si="2"/>
        <v>1</v>
      </c>
      <c r="O13" s="3" t="s">
        <v>50</v>
      </c>
      <c r="P13" s="3" t="s">
        <v>41</v>
      </c>
      <c r="Q13" s="4">
        <v>0.35412597442708299</v>
      </c>
      <c r="R13" s="4">
        <v>0.71431862572888005</v>
      </c>
      <c r="S13" s="4">
        <f t="shared" si="3"/>
        <v>0</v>
      </c>
      <c r="T13" s="4"/>
      <c r="U13" s="4" t="s">
        <v>43</v>
      </c>
      <c r="V13" s="3">
        <v>-0.42113433952083401</v>
      </c>
      <c r="W13" s="3">
        <v>0.20351545537208299</v>
      </c>
      <c r="X13" s="3">
        <f t="shared" si="4"/>
        <v>0</v>
      </c>
      <c r="Y13" s="3"/>
      <c r="Z13" s="3" t="s">
        <v>42</v>
      </c>
      <c r="AA13" s="4">
        <v>-0.244761076072917</v>
      </c>
      <c r="AB13" s="4">
        <v>0.28320563547403699</v>
      </c>
      <c r="AC13" s="4">
        <f t="shared" si="5"/>
        <v>0</v>
      </c>
      <c r="AD13" s="4"/>
      <c r="AE13" s="4" t="s">
        <v>41</v>
      </c>
      <c r="AF13" s="3">
        <v>-0.81031098093749998</v>
      </c>
      <c r="AG13" s="3">
        <v>0.13959709141912</v>
      </c>
      <c r="AH13" s="3">
        <f t="shared" si="6"/>
        <v>0</v>
      </c>
      <c r="AI13" s="3"/>
      <c r="AJ13" s="3" t="s">
        <v>42</v>
      </c>
      <c r="AK13" s="4">
        <v>-0.81556060782291695</v>
      </c>
      <c r="AL13" s="4">
        <v>8.5935801474581103E-2</v>
      </c>
      <c r="AM13" s="4">
        <f t="shared" si="7"/>
        <v>0</v>
      </c>
      <c r="AN13" s="4"/>
      <c r="AO13" s="4" t="s">
        <v>42</v>
      </c>
      <c r="AP13" s="3">
        <v>2.0833333333333301E-2</v>
      </c>
      <c r="AQ13" s="3">
        <v>0.14357588616379599</v>
      </c>
      <c r="AR13" s="3">
        <f t="shared" si="8"/>
        <v>0</v>
      </c>
      <c r="AS13" s="3"/>
      <c r="AT13" s="3" t="s">
        <v>43</v>
      </c>
      <c r="AU13" s="4">
        <v>0.76041666666666696</v>
      </c>
      <c r="AV13" s="4">
        <v>0.42906978126288797</v>
      </c>
      <c r="AW13" s="4">
        <f t="shared" si="9"/>
        <v>1</v>
      </c>
      <c r="AX13" s="4" t="s">
        <v>59</v>
      </c>
      <c r="AY13" s="4" t="s">
        <v>41</v>
      </c>
      <c r="AZ13" s="3">
        <v>2.0833333333333301E-2</v>
      </c>
      <c r="BA13" s="3">
        <v>0.14357588616379599</v>
      </c>
      <c r="BB13" s="3">
        <f t="shared" si="10"/>
        <v>0</v>
      </c>
      <c r="BC13" s="3"/>
      <c r="BD13" s="3" t="s">
        <v>43</v>
      </c>
      <c r="BE13" s="4">
        <v>0</v>
      </c>
      <c r="BF13" s="4">
        <v>0</v>
      </c>
      <c r="BG13" s="4">
        <f t="shared" si="11"/>
        <v>0</v>
      </c>
      <c r="BH13" s="4"/>
      <c r="BI13" s="4" t="s">
        <v>41</v>
      </c>
      <c r="BJ13" s="3">
        <v>0.39583333333333298</v>
      </c>
      <c r="BK13" s="3">
        <v>0.49159604012508801</v>
      </c>
      <c r="BL13" s="3">
        <f t="shared" si="12"/>
        <v>1</v>
      </c>
      <c r="BM13" s="3" t="s">
        <v>65</v>
      </c>
      <c r="BN13" s="3" t="s">
        <v>43</v>
      </c>
      <c r="BO13" s="2" t="s">
        <v>44</v>
      </c>
    </row>
    <row r="14" spans="1:67" ht="28.9" customHeight="1" x14ac:dyDescent="0.45">
      <c r="A14" s="2">
        <v>13</v>
      </c>
      <c r="B14" s="3">
        <v>-0.40875560623728802</v>
      </c>
      <c r="C14" s="3">
        <v>0.13043556286824101</v>
      </c>
      <c r="D14" s="3">
        <f t="shared" si="0"/>
        <v>0</v>
      </c>
      <c r="E14" s="3"/>
      <c r="F14" s="3" t="s">
        <v>42</v>
      </c>
      <c r="G14" s="4">
        <v>-9.9915734372881301E-2</v>
      </c>
      <c r="H14" s="4">
        <v>0.45647899726331498</v>
      </c>
      <c r="I14" s="4">
        <f t="shared" si="1"/>
        <v>0</v>
      </c>
      <c r="J14" s="4"/>
      <c r="K14" s="4" t="s">
        <v>42</v>
      </c>
      <c r="L14" s="3">
        <v>0.52060765072881399</v>
      </c>
      <c r="M14" s="3">
        <v>0.27893931472002897</v>
      </c>
      <c r="N14" s="3">
        <f t="shared" si="2"/>
        <v>1</v>
      </c>
      <c r="O14" s="3" t="s">
        <v>50</v>
      </c>
      <c r="P14" s="3" t="s">
        <v>41</v>
      </c>
      <c r="Q14" s="4">
        <v>-0.39171068572881301</v>
      </c>
      <c r="R14" s="4">
        <v>5.7173044400273099E-2</v>
      </c>
      <c r="S14" s="4">
        <f t="shared" si="3"/>
        <v>0</v>
      </c>
      <c r="T14" s="4"/>
      <c r="U14" s="4" t="s">
        <v>42</v>
      </c>
      <c r="V14" s="3">
        <v>3.4737391821864398</v>
      </c>
      <c r="W14" s="3">
        <v>1.07771702270568</v>
      </c>
      <c r="X14" s="3">
        <f t="shared" si="4"/>
        <v>1</v>
      </c>
      <c r="Y14" s="3" t="s">
        <v>52</v>
      </c>
      <c r="Z14" s="3" t="s">
        <v>43</v>
      </c>
      <c r="AA14" s="4">
        <v>0.57806426069491501</v>
      </c>
      <c r="AB14" s="4">
        <v>1.25660680741404</v>
      </c>
      <c r="AC14" s="4">
        <f t="shared" si="5"/>
        <v>1</v>
      </c>
      <c r="AD14" s="4" t="s">
        <v>54</v>
      </c>
      <c r="AE14" s="4" t="s">
        <v>43</v>
      </c>
      <c r="AF14" s="3">
        <v>2.4062184932881401</v>
      </c>
      <c r="AG14" s="3">
        <v>0.151084528290957</v>
      </c>
      <c r="AH14" s="3">
        <f t="shared" si="6"/>
        <v>1</v>
      </c>
      <c r="AI14" s="3" t="s">
        <v>55</v>
      </c>
      <c r="AJ14" s="3" t="s">
        <v>43</v>
      </c>
      <c r="AK14" s="4">
        <v>-0.25804308361016898</v>
      </c>
      <c r="AL14" s="4">
        <v>0.13141765266227201</v>
      </c>
      <c r="AM14" s="4">
        <f t="shared" si="7"/>
        <v>0</v>
      </c>
      <c r="AN14" s="4"/>
      <c r="AO14" s="4" t="s">
        <v>41</v>
      </c>
      <c r="AP14" s="3">
        <v>0</v>
      </c>
      <c r="AQ14" s="3">
        <v>0</v>
      </c>
      <c r="AR14" s="3">
        <f t="shared" si="8"/>
        <v>0</v>
      </c>
      <c r="AS14" s="3"/>
      <c r="AT14" s="3" t="s">
        <v>41</v>
      </c>
      <c r="AU14" s="4">
        <v>1.6949152542372899E-2</v>
      </c>
      <c r="AV14" s="4">
        <v>0.130188910980824</v>
      </c>
      <c r="AW14" s="4">
        <f t="shared" si="9"/>
        <v>0</v>
      </c>
      <c r="AX14" s="4"/>
      <c r="AY14" s="4" t="s">
        <v>41</v>
      </c>
      <c r="AZ14" s="3">
        <v>0.25423728813559299</v>
      </c>
      <c r="BA14" s="3">
        <v>0.439169291801561</v>
      </c>
      <c r="BB14" s="3">
        <f t="shared" si="10"/>
        <v>1</v>
      </c>
      <c r="BC14" s="3" t="s">
        <v>60</v>
      </c>
      <c r="BD14" s="3" t="s">
        <v>43</v>
      </c>
      <c r="BE14" s="4">
        <v>0</v>
      </c>
      <c r="BF14" s="4">
        <v>0</v>
      </c>
      <c r="BG14" s="4">
        <f t="shared" si="11"/>
        <v>0</v>
      </c>
      <c r="BH14" s="4"/>
      <c r="BI14" s="4" t="s">
        <v>41</v>
      </c>
      <c r="BJ14" s="3">
        <v>0.13559322033898299</v>
      </c>
      <c r="BK14" s="3">
        <v>0.34529483247299603</v>
      </c>
      <c r="BL14" s="3">
        <f t="shared" si="12"/>
        <v>0</v>
      </c>
      <c r="BM14" s="3"/>
      <c r="BN14" s="3" t="s">
        <v>43</v>
      </c>
      <c r="BO14" s="2" t="s">
        <v>44</v>
      </c>
    </row>
    <row r="15" spans="1:67" ht="28.9" customHeight="1" x14ac:dyDescent="0.45">
      <c r="A15" s="2">
        <v>14</v>
      </c>
      <c r="B15" s="3">
        <v>-0.171530509788235</v>
      </c>
      <c r="C15" s="3">
        <v>0.40654977475918203</v>
      </c>
      <c r="D15" s="3">
        <f t="shared" si="0"/>
        <v>0</v>
      </c>
      <c r="E15" s="3"/>
      <c r="F15" s="3" t="s">
        <v>41</v>
      </c>
      <c r="G15" s="4">
        <v>0.88551592305882298</v>
      </c>
      <c r="H15" s="4">
        <v>0.29348419961415201</v>
      </c>
      <c r="I15" s="4">
        <f t="shared" si="1"/>
        <v>1</v>
      </c>
      <c r="J15" s="4" t="s">
        <v>49</v>
      </c>
      <c r="K15" s="4" t="s">
        <v>41</v>
      </c>
      <c r="L15" s="3">
        <v>-0.38342452187058801</v>
      </c>
      <c r="M15" s="3">
        <v>0.51328669802498905</v>
      </c>
      <c r="N15" s="3">
        <f t="shared" si="2"/>
        <v>0</v>
      </c>
      <c r="O15" s="3"/>
      <c r="P15" s="3" t="s">
        <v>42</v>
      </c>
      <c r="Q15" s="4">
        <v>-0.27432756185882301</v>
      </c>
      <c r="R15" s="4">
        <v>0.10532856871285499</v>
      </c>
      <c r="S15" s="4">
        <f t="shared" si="3"/>
        <v>0</v>
      </c>
      <c r="T15" s="4"/>
      <c r="U15" s="4" t="s">
        <v>42</v>
      </c>
      <c r="V15" s="3">
        <v>-0.108691154811765</v>
      </c>
      <c r="W15" s="3">
        <v>0.44510564513668099</v>
      </c>
      <c r="X15" s="3">
        <f t="shared" si="4"/>
        <v>0</v>
      </c>
      <c r="Y15" s="3"/>
      <c r="Z15" s="3" t="s">
        <v>41</v>
      </c>
      <c r="AA15" s="4">
        <v>-2.78037169294118E-2</v>
      </c>
      <c r="AB15" s="4">
        <v>0.56579713309305202</v>
      </c>
      <c r="AC15" s="4">
        <f t="shared" si="5"/>
        <v>0</v>
      </c>
      <c r="AD15" s="4"/>
      <c r="AE15" s="4" t="s">
        <v>43</v>
      </c>
      <c r="AF15" s="3">
        <v>-0.11438865122352899</v>
      </c>
      <c r="AG15" s="3">
        <v>0.24673615944379501</v>
      </c>
      <c r="AH15" s="3">
        <f t="shared" si="6"/>
        <v>0</v>
      </c>
      <c r="AI15" s="3"/>
      <c r="AJ15" s="3" t="s">
        <v>41</v>
      </c>
      <c r="AK15" s="4">
        <v>0.67411313998823497</v>
      </c>
      <c r="AL15" s="4">
        <v>0.448622754462076</v>
      </c>
      <c r="AM15" s="4">
        <f t="shared" si="7"/>
        <v>1</v>
      </c>
      <c r="AN15" s="4" t="s">
        <v>57</v>
      </c>
      <c r="AO15" s="4" t="s">
        <v>43</v>
      </c>
      <c r="AP15" s="3">
        <v>0.57647058823529396</v>
      </c>
      <c r="AQ15" s="3">
        <v>0.49705012174770802</v>
      </c>
      <c r="AR15" s="3">
        <f t="shared" si="8"/>
        <v>1</v>
      </c>
      <c r="AS15" s="3" t="s">
        <v>58</v>
      </c>
      <c r="AT15" s="3" t="s">
        <v>43</v>
      </c>
      <c r="AU15" s="4">
        <v>0.435294117647059</v>
      </c>
      <c r="AV15" s="4">
        <v>0.49873790290925302</v>
      </c>
      <c r="AW15" s="4">
        <f t="shared" si="9"/>
        <v>1</v>
      </c>
      <c r="AX15" s="4" t="s">
        <v>59</v>
      </c>
      <c r="AY15" s="4" t="s">
        <v>41</v>
      </c>
      <c r="AZ15" s="3">
        <v>0.2</v>
      </c>
      <c r="BA15" s="3">
        <v>0.40237390808147799</v>
      </c>
      <c r="BB15" s="3">
        <f t="shared" si="10"/>
        <v>0.5</v>
      </c>
      <c r="BC15" s="3" t="s">
        <v>62</v>
      </c>
      <c r="BD15" s="3" t="s">
        <v>43</v>
      </c>
      <c r="BE15" s="4">
        <v>0</v>
      </c>
      <c r="BF15" s="4">
        <v>0</v>
      </c>
      <c r="BG15" s="4">
        <f t="shared" si="11"/>
        <v>0</v>
      </c>
      <c r="BH15" s="4"/>
      <c r="BI15" s="4" t="s">
        <v>41</v>
      </c>
      <c r="BJ15" s="3">
        <v>2.3529411764705899E-2</v>
      </c>
      <c r="BK15" s="3">
        <v>0.152477210493529</v>
      </c>
      <c r="BL15" s="3">
        <f t="shared" si="12"/>
        <v>0</v>
      </c>
      <c r="BM15" s="3"/>
      <c r="BN15" s="3" t="s">
        <v>43</v>
      </c>
      <c r="BO15" s="2" t="s">
        <v>44</v>
      </c>
    </row>
    <row r="16" spans="1:67" ht="28.9" customHeight="1" x14ac:dyDescent="0.45">
      <c r="A16" s="2"/>
      <c r="B16" s="2">
        <f>AVERAGE(B2:B15)</f>
        <v>0.38562933421641449</v>
      </c>
      <c r="C16" s="2">
        <f>SQRT(SUMSQ(C2:C15) )/ COUNT(C2:C15)</f>
        <v>0.19742636101294192</v>
      </c>
      <c r="D16" s="2"/>
      <c r="E16" s="2"/>
      <c r="F16" s="2"/>
      <c r="G16" s="2">
        <f>AVERAGE(G2:G15)</f>
        <v>4.7421402428127139E-2</v>
      </c>
      <c r="H16" s="2">
        <f>SQRT(SUMSQ(H2:H15) )/ COUNT(H2:H15)</f>
        <v>0.1192157557271613</v>
      </c>
      <c r="I16" s="2"/>
      <c r="J16" s="2"/>
      <c r="K16" s="2"/>
      <c r="L16" s="2">
        <f>AVERAGE(L2:L15)</f>
        <v>0.13909988726605774</v>
      </c>
      <c r="M16" s="2">
        <f>SQRT(SUMSQ(M2:M15) )/ COUNT(M2:M15)</f>
        <v>0.11875302949743623</v>
      </c>
      <c r="N16" s="2"/>
      <c r="O16" s="2"/>
      <c r="P16" s="2"/>
      <c r="Q16" s="2">
        <f>AVERAGE(Q2:Q15)</f>
        <v>0.53732326564849864</v>
      </c>
      <c r="R16" s="2">
        <f>SQRT(SUMSQ(R2:R15) )/ COUNT(R2:R15)</f>
        <v>8.9762323682556572E-2</v>
      </c>
      <c r="S16" s="2"/>
      <c r="T16" s="2"/>
      <c r="U16" s="2"/>
      <c r="V16" s="2">
        <f>AVERAGE(V2:V15)</f>
        <v>0.37751684081976089</v>
      </c>
      <c r="W16" s="2">
        <f>SQRT(SUMSQ(W2:W15) )/ COUNT(W2:W15)</f>
        <v>0.18046545946865639</v>
      </c>
      <c r="X16" s="2"/>
      <c r="Y16" s="2"/>
      <c r="Z16" s="2"/>
      <c r="AA16" s="2">
        <f>AVERAGE(AA2:AA15)</f>
        <v>0.21065943449758004</v>
      </c>
      <c r="AB16" s="2">
        <f>SQRT(SUMSQ(AB2:AB15) )/ COUNT(AB2:AB15)</f>
        <v>0.1968456289788981</v>
      </c>
      <c r="AC16" s="2"/>
      <c r="AD16" s="2"/>
      <c r="AE16" s="2"/>
      <c r="AF16" s="2">
        <f>AVERAGE(AF2:AF15)</f>
        <v>-1.7293940857940387E-3</v>
      </c>
      <c r="AG16" s="2">
        <f>SQRT(SUMSQ(AG2:AG15) )/ COUNT(AG2:AG15)</f>
        <v>0.10506160283729836</v>
      </c>
      <c r="AH16" s="2"/>
      <c r="AI16" s="2"/>
      <c r="AJ16" s="2"/>
      <c r="AK16" s="2">
        <f>AVERAGE(AK2:AK15)</f>
        <v>2.1758228277683783E-2</v>
      </c>
      <c r="AL16" s="2">
        <f>SQRT(SUMSQ(AL2:AL15) )/ COUNT(AL2:AL15)</f>
        <v>0.10417876408290054</v>
      </c>
      <c r="AM16" s="2"/>
      <c r="AN16" s="2"/>
      <c r="AO16" s="2"/>
      <c r="AP16" s="2">
        <f>AVERAGE(AP2:AP15)</f>
        <v>0.16555356585080075</v>
      </c>
      <c r="AQ16" s="2">
        <f>SQRT(SUMSQ(AQ2:AQ15) )/ COUNT(AQ2:AQ15)</f>
        <v>8.0717617022299154E-2</v>
      </c>
      <c r="AR16" s="2"/>
      <c r="AS16" s="2"/>
      <c r="AT16" s="2"/>
      <c r="AU16" s="2">
        <f>AVERAGE(AU2:AU15)</f>
        <v>0.26875302493629399</v>
      </c>
      <c r="AV16" s="2">
        <f>SQRT(SUMSQ(AV2:AV15) )/ COUNT(AV2:AV15)</f>
        <v>9.2945320691259561E-2</v>
      </c>
      <c r="AW16" s="2"/>
      <c r="AX16" s="2"/>
      <c r="AY16" s="2"/>
      <c r="AZ16" s="2">
        <f>AVERAGE(AZ2:AZ15)</f>
        <v>0.1522479485830536</v>
      </c>
      <c r="BA16" s="2">
        <f>SQRT(SUMSQ(BA2:BA15) )/ COUNT(BA2:BA15)</f>
        <v>8.8145054526238636E-2</v>
      </c>
      <c r="BB16" s="2"/>
      <c r="BC16" s="2"/>
      <c r="BD16" s="2"/>
      <c r="BE16" s="2">
        <f>AVERAGE(BE2:BE15)</f>
        <v>4.7767857142857143E-3</v>
      </c>
      <c r="BF16" s="2">
        <f>SQRT(SUMSQ(BF2:BF15) )/ COUNT(BF2:BF15)</f>
        <v>1.8264902325183539E-2</v>
      </c>
      <c r="BG16" s="2"/>
      <c r="BH16" s="2"/>
      <c r="BI16" s="2"/>
      <c r="BJ16" s="2">
        <f>AVERAGE(BJ2:BJ15)</f>
        <v>0.19454110795419469</v>
      </c>
      <c r="BK16" s="2">
        <f>SQRT(SUMSQ(BK2:BK15) )/ COUNT(BK2:BK15)</f>
        <v>8.8103633710491236E-2</v>
      </c>
      <c r="BL16" s="2"/>
      <c r="BM16" s="2"/>
      <c r="BN16" s="2"/>
      <c r="BO16" s="2"/>
    </row>
    <row r="21" spans="1:16" ht="39.85" customHeight="1" x14ac:dyDescent="0.45">
      <c r="A21" s="11" t="s">
        <v>0</v>
      </c>
      <c r="B21" s="11" t="s">
        <v>47</v>
      </c>
      <c r="C21" s="11" t="s">
        <v>49</v>
      </c>
      <c r="D21" s="11" t="s">
        <v>50</v>
      </c>
      <c r="E21" s="11" t="s">
        <v>51</v>
      </c>
      <c r="F21" s="11" t="s">
        <v>52</v>
      </c>
      <c r="G21" s="11" t="s">
        <v>54</v>
      </c>
      <c r="H21" s="11" t="s">
        <v>55</v>
      </c>
      <c r="I21" s="11" t="s">
        <v>57</v>
      </c>
      <c r="J21" s="11" t="s">
        <v>58</v>
      </c>
      <c r="K21" s="11" t="s">
        <v>59</v>
      </c>
      <c r="L21" s="11" t="s">
        <v>60</v>
      </c>
      <c r="M21" s="10" t="s">
        <v>63</v>
      </c>
      <c r="N21" s="10" t="s">
        <v>65</v>
      </c>
      <c r="P21" s="13" t="s">
        <v>66</v>
      </c>
    </row>
    <row r="22" spans="1:16" ht="39.85" customHeight="1" x14ac:dyDescent="0.45">
      <c r="A22" s="14">
        <v>2</v>
      </c>
      <c r="B22" s="12" t="s">
        <v>47</v>
      </c>
      <c r="C22" s="12" t="s">
        <v>49</v>
      </c>
      <c r="D22" s="2" t="s">
        <v>42</v>
      </c>
      <c r="E22" s="2" t="s">
        <v>41</v>
      </c>
      <c r="F22" s="12" t="s">
        <v>53</v>
      </c>
      <c r="G22" s="2" t="s">
        <v>41</v>
      </c>
      <c r="H22" s="12" t="s">
        <v>56</v>
      </c>
      <c r="I22" s="12" t="s">
        <v>57</v>
      </c>
      <c r="J22" s="12" t="s">
        <v>58</v>
      </c>
      <c r="K22" s="12" t="s">
        <v>59</v>
      </c>
      <c r="L22" s="2" t="s">
        <v>41</v>
      </c>
      <c r="M22" s="2" t="s">
        <v>41</v>
      </c>
      <c r="N22" s="2" t="s">
        <v>41</v>
      </c>
      <c r="O22" s="1">
        <v>7</v>
      </c>
      <c r="P22" s="1">
        <v>1</v>
      </c>
    </row>
    <row r="23" spans="1:16" ht="39.85" customHeight="1" x14ac:dyDescent="0.45">
      <c r="A23" s="14">
        <v>3</v>
      </c>
      <c r="B23" s="12" t="s">
        <v>47</v>
      </c>
      <c r="C23" s="2" t="s">
        <v>42</v>
      </c>
      <c r="D23" s="2" t="s">
        <v>42</v>
      </c>
      <c r="E23" s="2" t="s">
        <v>43</v>
      </c>
      <c r="F23" s="12" t="s">
        <v>53</v>
      </c>
      <c r="G23" s="2" t="s">
        <v>41</v>
      </c>
      <c r="H23" s="2" t="s">
        <v>42</v>
      </c>
      <c r="I23" s="2" t="s">
        <v>42</v>
      </c>
      <c r="J23" s="2" t="s">
        <v>43</v>
      </c>
      <c r="K23" s="2" t="s">
        <v>41</v>
      </c>
      <c r="L23" s="12" t="s">
        <v>60</v>
      </c>
      <c r="M23" s="12" t="s">
        <v>64</v>
      </c>
      <c r="N23" s="12" t="s">
        <v>65</v>
      </c>
      <c r="O23" s="1">
        <v>5</v>
      </c>
      <c r="P23" s="1">
        <v>1</v>
      </c>
    </row>
    <row r="24" spans="1:16" ht="39.85" customHeight="1" x14ac:dyDescent="0.45">
      <c r="A24" s="14">
        <v>4</v>
      </c>
      <c r="B24" s="12" t="s">
        <v>47</v>
      </c>
      <c r="C24" s="12" t="s">
        <v>49</v>
      </c>
      <c r="D24" s="2" t="s">
        <v>42</v>
      </c>
      <c r="E24" s="2" t="s">
        <v>41</v>
      </c>
      <c r="F24" s="2" t="s">
        <v>41</v>
      </c>
      <c r="G24" s="2" t="s">
        <v>43</v>
      </c>
      <c r="H24" s="2" t="s">
        <v>41</v>
      </c>
      <c r="I24" s="12" t="s">
        <v>57</v>
      </c>
      <c r="J24" s="2" t="s">
        <v>43</v>
      </c>
      <c r="K24" s="2" t="s">
        <v>41</v>
      </c>
      <c r="L24" s="2" t="s">
        <v>41</v>
      </c>
      <c r="M24" s="2" t="s">
        <v>41</v>
      </c>
      <c r="N24" s="2" t="s">
        <v>43</v>
      </c>
      <c r="O24" s="1">
        <v>3</v>
      </c>
      <c r="P24" s="1">
        <v>1</v>
      </c>
    </row>
  </sheetData>
  <conditionalFormatting sqref="D2:D15">
    <cfRule type="colorScale" priority="13">
      <colorScale>
        <cfvo type="min"/>
        <cfvo type="max"/>
        <color rgb="FFFCFCFF"/>
        <color rgb="FFF8696B"/>
      </colorScale>
    </cfRule>
  </conditionalFormatting>
  <conditionalFormatting sqref="I2:I15">
    <cfRule type="colorScale" priority="12">
      <colorScale>
        <cfvo type="min"/>
        <cfvo type="max"/>
        <color rgb="FFFCFCFF"/>
        <color rgb="FFF8696B"/>
      </colorScale>
    </cfRule>
  </conditionalFormatting>
  <conditionalFormatting sqref="N2:N15">
    <cfRule type="colorScale" priority="11">
      <colorScale>
        <cfvo type="min"/>
        <cfvo type="max"/>
        <color rgb="FFFCFCFF"/>
        <color rgb="FFF8696B"/>
      </colorScale>
    </cfRule>
  </conditionalFormatting>
  <conditionalFormatting sqref="S2:S15">
    <cfRule type="colorScale" priority="10">
      <colorScale>
        <cfvo type="min"/>
        <cfvo type="max"/>
        <color rgb="FFFCFCFF"/>
        <color rgb="FFF8696B"/>
      </colorScale>
    </cfRule>
  </conditionalFormatting>
  <conditionalFormatting sqref="X2:X15">
    <cfRule type="colorScale" priority="9">
      <colorScale>
        <cfvo type="min"/>
        <cfvo type="max"/>
        <color rgb="FFFCFCFF"/>
        <color rgb="FFF8696B"/>
      </colorScale>
    </cfRule>
  </conditionalFormatting>
  <conditionalFormatting sqref="AC2:AC15">
    <cfRule type="colorScale" priority="8">
      <colorScale>
        <cfvo type="min"/>
        <cfvo type="max"/>
        <color rgb="FFFCFCFF"/>
        <color rgb="FFF8696B"/>
      </colorScale>
    </cfRule>
  </conditionalFormatting>
  <conditionalFormatting sqref="AH2:AH15">
    <cfRule type="colorScale" priority="7">
      <colorScale>
        <cfvo type="min"/>
        <cfvo type="max"/>
        <color rgb="FFFCFCFF"/>
        <color rgb="FFF8696B"/>
      </colorScale>
    </cfRule>
  </conditionalFormatting>
  <conditionalFormatting sqref="AM2:AM15">
    <cfRule type="colorScale" priority="6">
      <colorScale>
        <cfvo type="min"/>
        <cfvo type="max"/>
        <color rgb="FFFCFCFF"/>
        <color rgb="FFF8696B"/>
      </colorScale>
    </cfRule>
  </conditionalFormatting>
  <conditionalFormatting sqref="AR2:AR15">
    <cfRule type="colorScale" priority="5">
      <colorScale>
        <cfvo type="min"/>
        <cfvo type="max"/>
        <color rgb="FFFCFCFF"/>
        <color rgb="FFF8696B"/>
      </colorScale>
    </cfRule>
  </conditionalFormatting>
  <conditionalFormatting sqref="AW2:AW15">
    <cfRule type="colorScale" priority="4">
      <colorScale>
        <cfvo type="min"/>
        <cfvo type="max"/>
        <color rgb="FFFCFCFF"/>
        <color rgb="FFF8696B"/>
      </colorScale>
    </cfRule>
  </conditionalFormatting>
  <conditionalFormatting sqref="BB2:BB15">
    <cfRule type="colorScale" priority="3">
      <colorScale>
        <cfvo type="min"/>
        <cfvo type="max"/>
        <color rgb="FFFCFCFF"/>
        <color rgb="FFF8696B"/>
      </colorScale>
    </cfRule>
  </conditionalFormatting>
  <conditionalFormatting sqref="BG2:BG15">
    <cfRule type="colorScale" priority="2">
      <colorScale>
        <cfvo type="min"/>
        <cfvo type="max"/>
        <color rgb="FFFCFCFF"/>
        <color rgb="FFF8696B"/>
      </colorScale>
    </cfRule>
  </conditionalFormatting>
  <conditionalFormatting sqref="BL2:BL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all_centroidi_annotated_14_2020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2025-11-21T16:18:21Z</dcterms:created>
  <dcterms:modified xsi:type="dcterms:W3CDTF">2025-11-26T10:52:59Z</dcterms:modified>
</cp:coreProperties>
</file>