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Risk Assessment Mar Baltico - NOVEMBRE\Risk assessment_novembre\Baltico_VAE\Multi K-means del VAE\All spp VAE+mkm\output best unif\"/>
    </mc:Choice>
  </mc:AlternateContent>
  <xr:revisionPtr revIDLastSave="0" documentId="13_ncr:1_{FD2D971B-D755-42D3-8453-63CDE4617360}" xr6:coauthVersionLast="47" xr6:coauthVersionMax="47" xr10:uidLastSave="{00000000-0000-0000-0000-000000000000}"/>
  <bookViews>
    <workbookView xWindow="-38510" yWindow="-2460" windowWidth="38620" windowHeight="21100" xr2:uid="{00000000-000D-0000-FFFF-FFFF00000000}"/>
  </bookViews>
  <sheets>
    <sheet name="all_centroidi_annotated_16_20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18" i="1" l="1"/>
  <c r="BJ18" i="1"/>
  <c r="BF18" i="1"/>
  <c r="BE18" i="1"/>
  <c r="BA18" i="1"/>
  <c r="AZ18" i="1"/>
  <c r="AV18" i="1"/>
  <c r="AU18" i="1"/>
  <c r="AW15" i="1" s="1"/>
  <c r="AQ18" i="1"/>
  <c r="AP18" i="1"/>
  <c r="AL18" i="1"/>
  <c r="AK18" i="1"/>
  <c r="AG18" i="1"/>
  <c r="AF18" i="1"/>
  <c r="AB18" i="1"/>
  <c r="AA18" i="1"/>
  <c r="W18" i="1"/>
  <c r="V18" i="1"/>
  <c r="R18" i="1"/>
  <c r="Q18" i="1"/>
  <c r="M18" i="1"/>
  <c r="L18" i="1"/>
  <c r="N14" i="1" s="1"/>
  <c r="H18" i="1"/>
  <c r="G18" i="1"/>
  <c r="C18" i="1"/>
  <c r="AM15" i="1" l="1"/>
  <c r="BG12" i="1"/>
  <c r="X11" i="1"/>
  <c r="BB5" i="1"/>
  <c r="AC13" i="1"/>
  <c r="I12" i="1"/>
  <c r="AH3" i="1"/>
  <c r="BL13" i="1"/>
  <c r="X2" i="1"/>
  <c r="BB12" i="1"/>
  <c r="BB11" i="1"/>
  <c r="S5" i="1"/>
  <c r="S3" i="1"/>
  <c r="X17" i="1"/>
  <c r="X16" i="1"/>
  <c r="X4" i="1"/>
  <c r="X3" i="1"/>
  <c r="BB17" i="1"/>
  <c r="BB16" i="1"/>
  <c r="AV19" i="1"/>
  <c r="BB15" i="1"/>
  <c r="BA19" i="1"/>
  <c r="BB14" i="1"/>
  <c r="S4" i="1"/>
  <c r="AR2" i="1"/>
  <c r="AR17" i="1"/>
  <c r="N10" i="1"/>
  <c r="N4" i="1"/>
  <c r="AR9" i="1"/>
  <c r="BB10" i="1"/>
  <c r="X14" i="1"/>
  <c r="BB13" i="1"/>
  <c r="S2" i="1"/>
  <c r="X8" i="1"/>
  <c r="AW14" i="1"/>
  <c r="BB4" i="1"/>
  <c r="AW13" i="1"/>
  <c r="S17" i="1"/>
  <c r="X7" i="1"/>
  <c r="AW8" i="1"/>
  <c r="BB3" i="1"/>
  <c r="AR13" i="1"/>
  <c r="N12" i="1"/>
  <c r="AR16" i="1"/>
  <c r="AR8" i="1"/>
  <c r="N11" i="1"/>
  <c r="N9" i="1"/>
  <c r="AR10" i="1"/>
  <c r="X15" i="1"/>
  <c r="N3" i="1"/>
  <c r="BB7" i="1"/>
  <c r="S7" i="1"/>
  <c r="X6" i="1"/>
  <c r="AW7" i="1"/>
  <c r="X13" i="1"/>
  <c r="S6" i="1"/>
  <c r="X5" i="1"/>
  <c r="AW6" i="1"/>
  <c r="BK19" i="1"/>
  <c r="I11" i="1"/>
  <c r="S14" i="1"/>
  <c r="X10" i="1"/>
  <c r="AM16" i="1"/>
  <c r="AW10" i="1"/>
  <c r="BB9" i="1"/>
  <c r="I13" i="1"/>
  <c r="BG13" i="1"/>
  <c r="BL7" i="1"/>
  <c r="AM13" i="1"/>
  <c r="BL6" i="1"/>
  <c r="AH13" i="1"/>
  <c r="AC9" i="1"/>
  <c r="AR7" i="1"/>
  <c r="BL5" i="1"/>
  <c r="I15" i="1"/>
  <c r="I14" i="1"/>
  <c r="S16" i="1"/>
  <c r="AM2" i="1"/>
  <c r="AW12" i="1"/>
  <c r="S13" i="1"/>
  <c r="S15" i="1"/>
  <c r="AM17" i="1"/>
  <c r="AW11" i="1"/>
  <c r="N13" i="1"/>
  <c r="S12" i="1"/>
  <c r="X9" i="1"/>
  <c r="AW9" i="1"/>
  <c r="BB8" i="1"/>
  <c r="AC3" i="1"/>
  <c r="AC16" i="1"/>
  <c r="AC4" i="1"/>
  <c r="AC17" i="1"/>
  <c r="AC5" i="1"/>
  <c r="AC2" i="1"/>
  <c r="AC6" i="1"/>
  <c r="BG8" i="1"/>
  <c r="BG9" i="1"/>
  <c r="BG10" i="1"/>
  <c r="BG11" i="1"/>
  <c r="AC8" i="1"/>
  <c r="BG7" i="1"/>
  <c r="AC7" i="1"/>
  <c r="BG6" i="1"/>
  <c r="AH5" i="1"/>
  <c r="AH6" i="1"/>
  <c r="AH7" i="1"/>
  <c r="AH8" i="1"/>
  <c r="AH2" i="1"/>
  <c r="BL11" i="1"/>
  <c r="BL12" i="1"/>
  <c r="BL14" i="1"/>
  <c r="BL15" i="1"/>
  <c r="BL3" i="1"/>
  <c r="AH17" i="1"/>
  <c r="BG5" i="1"/>
  <c r="BL4" i="1"/>
  <c r="AH16" i="1"/>
  <c r="BG4" i="1"/>
  <c r="I3" i="1"/>
  <c r="I16" i="1"/>
  <c r="I4" i="1"/>
  <c r="I17" i="1"/>
  <c r="I5" i="1"/>
  <c r="I2" i="1"/>
  <c r="I6" i="1"/>
  <c r="H19" i="1"/>
  <c r="AM8" i="1"/>
  <c r="AM9" i="1"/>
  <c r="AM10" i="1"/>
  <c r="AM11" i="1"/>
  <c r="AB19" i="1"/>
  <c r="I10" i="1"/>
  <c r="AH15" i="1"/>
  <c r="AM14" i="1"/>
  <c r="BG3" i="1"/>
  <c r="AG19" i="1"/>
  <c r="I9" i="1"/>
  <c r="AH14" i="1"/>
  <c r="AM12" i="1"/>
  <c r="BL2" i="1"/>
  <c r="N5" i="1"/>
  <c r="N6" i="1"/>
  <c r="N7" i="1"/>
  <c r="M19" i="1"/>
  <c r="N8" i="1"/>
  <c r="N2" i="1"/>
  <c r="AR11" i="1"/>
  <c r="AR12" i="1"/>
  <c r="AR14" i="1"/>
  <c r="AR15" i="1"/>
  <c r="AL19" i="1"/>
  <c r="I8" i="1"/>
  <c r="AC15" i="1"/>
  <c r="AH12" i="1"/>
  <c r="AM7" i="1"/>
  <c r="AR6" i="1"/>
  <c r="BG2" i="1"/>
  <c r="BL17" i="1"/>
  <c r="AQ19" i="1"/>
  <c r="I7" i="1"/>
  <c r="AC14" i="1"/>
  <c r="AH11" i="1"/>
  <c r="AM6" i="1"/>
  <c r="AR5" i="1"/>
  <c r="BG17" i="1"/>
  <c r="BL16" i="1"/>
  <c r="N17" i="1"/>
  <c r="AC12" i="1"/>
  <c r="AH10" i="1"/>
  <c r="AM5" i="1"/>
  <c r="AR4" i="1"/>
  <c r="BG16" i="1"/>
  <c r="BL10" i="1"/>
  <c r="N16" i="1"/>
  <c r="AC11" i="1"/>
  <c r="AH9" i="1"/>
  <c r="AM4" i="1"/>
  <c r="AR3" i="1"/>
  <c r="BG15" i="1"/>
  <c r="BL9" i="1"/>
  <c r="BF19" i="1"/>
  <c r="N15" i="1"/>
  <c r="AC10" i="1"/>
  <c r="AH4" i="1"/>
  <c r="AM3" i="1"/>
  <c r="BG14" i="1"/>
  <c r="BL8" i="1"/>
  <c r="S11" i="1"/>
  <c r="AW2" i="1"/>
  <c r="AW5" i="1"/>
  <c r="S10" i="1"/>
  <c r="AW17" i="1"/>
  <c r="AW4" i="1"/>
  <c r="R19" i="1"/>
  <c r="S9" i="1"/>
  <c r="X12" i="1"/>
  <c r="AW16" i="1"/>
  <c r="AW3" i="1"/>
  <c r="BB6" i="1"/>
  <c r="W19" i="1"/>
  <c r="S8" i="1"/>
  <c r="BB2" i="1"/>
  <c r="B18" i="1"/>
  <c r="D13" i="1" l="1"/>
  <c r="D10" i="1"/>
  <c r="D11" i="1"/>
  <c r="D12" i="1"/>
  <c r="D14" i="1"/>
  <c r="D7" i="1"/>
  <c r="D8" i="1"/>
  <c r="D9" i="1"/>
  <c r="D15" i="1"/>
  <c r="D16" i="1"/>
  <c r="D17" i="1"/>
  <c r="D2" i="1"/>
  <c r="C19" i="1"/>
  <c r="D3" i="1"/>
  <c r="D4" i="1"/>
  <c r="D5" i="1"/>
  <c r="D6" i="1"/>
</calcChain>
</file>

<file path=xl/sharedStrings.xml><?xml version="1.0" encoding="utf-8"?>
<sst xmlns="http://schemas.openxmlformats.org/spreadsheetml/2006/main" count="396" uniqueCount="64">
  <si>
    <t>centroid_id</t>
  </si>
  <si>
    <t>all_spp_cpue_2020_std</t>
  </si>
  <si>
    <t>all_spp_cpue_2020_std_sd</t>
  </si>
  <si>
    <t>all_spp_cpue_2020_std_label</t>
  </si>
  <si>
    <t>bathymetry_2020_std</t>
  </si>
  <si>
    <t>bathymetry_2020_std_sd</t>
  </si>
  <si>
    <t>bathymetry_2020_std_label</t>
  </si>
  <si>
    <t>bottom_temperature_2020_std</t>
  </si>
  <si>
    <t>bottom_temperature_2020_std_sd</t>
  </si>
  <si>
    <t>bottom_temperature_2020_std_label</t>
  </si>
  <si>
    <t>surface_net_primary_production_2020_std</t>
  </si>
  <si>
    <t>surface_net_primary_production_2020_std_sd</t>
  </si>
  <si>
    <t>surface_net_primary_production_2020_std_label</t>
  </si>
  <si>
    <t>fishing_activity_hours_2020_std</t>
  </si>
  <si>
    <t>fishing_activity_hours_2020_std_sd</t>
  </si>
  <si>
    <t>fishing_activity_hours_2020_std_label</t>
  </si>
  <si>
    <t>ship_density_route_2020_std</t>
  </si>
  <si>
    <t>ship_density_route_2020_std_sd</t>
  </si>
  <si>
    <t>ship_density_route_2020_std_label</t>
  </si>
  <si>
    <t>bottom_salinity_2020_std</t>
  </si>
  <si>
    <t>bottom_salinity_2020_std_sd</t>
  </si>
  <si>
    <t>bottom_salinity_2020_std_label</t>
  </si>
  <si>
    <t>bottom_dissolved_oxygen_2020_inv_std</t>
  </si>
  <si>
    <t>bottom_dissolved_oxygen_2020_inv_std_sd</t>
  </si>
  <si>
    <t>bottom_dissolved_oxygen_2020_inv_std_label</t>
  </si>
  <si>
    <t>dumping_site_2020</t>
  </si>
  <si>
    <t>dumping_site_2020_sd</t>
  </si>
  <si>
    <t>dumping_site_2020_label</t>
  </si>
  <si>
    <t>military_area_2020</t>
  </si>
  <si>
    <t>military_area_2020_sd</t>
  </si>
  <si>
    <t>military_area_2020_label</t>
  </si>
  <si>
    <t>wind_farm_2020</t>
  </si>
  <si>
    <t>wind_farm_2020_sd</t>
  </si>
  <si>
    <t>wind_farm_2020_label</t>
  </si>
  <si>
    <t>bedrock_seabed_2020</t>
  </si>
  <si>
    <t>bedrock_seabed_2020_sd</t>
  </si>
  <si>
    <t>bedrock_seabed_2020_label</t>
  </si>
  <si>
    <t>hard_bottom_seabed_2020</t>
  </si>
  <si>
    <t>hard_bottom_seabed_2020_sd</t>
  </si>
  <si>
    <t>hard_bottom_seabed_2020_label</t>
  </si>
  <si>
    <t>attention_level</t>
  </si>
  <si>
    <t>M</t>
  </si>
  <si>
    <t>L</t>
  </si>
  <si>
    <t>H</t>
  </si>
  <si>
    <t>medium attention</t>
  </si>
  <si>
    <t>low attention</t>
  </si>
  <si>
    <t>high attention</t>
  </si>
  <si>
    <t>0 - 0.5 - 1</t>
  </si>
  <si>
    <t>BIODIVERSITY</t>
  </si>
  <si>
    <t>BATHYMETRY</t>
  </si>
  <si>
    <t>TEMPERATURE</t>
  </si>
  <si>
    <t>NPP</t>
  </si>
  <si>
    <t>FISHING</t>
  </si>
  <si>
    <t>SHIP</t>
  </si>
  <si>
    <t>SALINITY</t>
  </si>
  <si>
    <t>OXYGEN</t>
  </si>
  <si>
    <t>dumping site</t>
  </si>
  <si>
    <t>DUMPING SITE</t>
  </si>
  <si>
    <t>MILITARY</t>
  </si>
  <si>
    <t>WIND FARM</t>
  </si>
  <si>
    <t>BEDROCK</t>
  </si>
  <si>
    <t>HARD BOTTOM</t>
  </si>
  <si>
    <t>BED ROCK</t>
  </si>
  <si>
    <t>ECO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</si>
</sst>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18" fillId="37" borderId="0" xfId="0" applyFont="1" applyFill="1" applyAlignment="1">
      <alignment horizontal="center" vertical="center"/>
    </xf>
    <xf numFmtId="0" fontId="18" fillId="37" borderId="1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5"/>
  <sheetViews>
    <sheetView tabSelected="1" topLeftCell="A7" zoomScale="85" zoomScaleNormal="85" workbookViewId="0">
      <selection activeCell="P24" sqref="P24"/>
    </sheetView>
  </sheetViews>
  <sheetFormatPr defaultRowHeight="42.85" customHeight="1" x14ac:dyDescent="0.45"/>
  <cols>
    <col min="1" max="1" width="12.6640625" style="1" bestFit="1" customWidth="1"/>
    <col min="2" max="2" width="20.06640625" style="1" bestFit="1" customWidth="1"/>
    <col min="3" max="3" width="22.796875" style="1" bestFit="1" customWidth="1"/>
    <col min="4" max="4" width="16.1328125" style="1" bestFit="1" customWidth="1"/>
    <col min="5" max="5" width="12.33203125" style="1" bestFit="1" customWidth="1"/>
    <col min="6" max="6" width="24.9296875" style="1" bestFit="1" customWidth="1"/>
    <col min="7" max="7" width="18.53125" style="1" bestFit="1" customWidth="1"/>
    <col min="8" max="8" width="21.33203125" style="1" bestFit="1" customWidth="1"/>
    <col min="9" max="9" width="11.1328125" style="1" bestFit="1" customWidth="1"/>
    <col min="10" max="10" width="18.53125" style="1" bestFit="1" customWidth="1"/>
    <col min="11" max="11" width="23.53125" style="1" bestFit="1" customWidth="1"/>
    <col min="12" max="12" width="26.3984375" style="1" bestFit="1" customWidth="1"/>
    <col min="13" max="13" width="29.1328125" style="1" bestFit="1" customWidth="1"/>
    <col min="14" max="14" width="16.3984375" style="1" bestFit="1" customWidth="1"/>
    <col min="15" max="15" width="12.86328125" style="1" bestFit="1" customWidth="1"/>
    <col min="16" max="16" width="31.33203125" style="1" bestFit="1" customWidth="1"/>
    <col min="17" max="17" width="35.796875" style="1" bestFit="1" customWidth="1"/>
    <col min="18" max="18" width="38.53125" style="1" bestFit="1" customWidth="1"/>
    <col min="19" max="19" width="8.53125" style="1" bestFit="1" customWidth="1"/>
    <col min="20" max="20" width="4.265625" style="1" bestFit="1" customWidth="1"/>
    <col min="21" max="21" width="40.796875" style="1" bestFit="1" customWidth="1"/>
    <col min="22" max="22" width="26.796875" style="1" bestFit="1" customWidth="1"/>
    <col min="23" max="23" width="29.59765625" style="1" bestFit="1" customWidth="1"/>
    <col min="24" max="24" width="8.53125" style="1" bestFit="1" customWidth="1"/>
    <col min="25" max="25" width="7.73046875" style="1" bestFit="1" customWidth="1"/>
    <col min="26" max="26" width="31.73046875" style="1" bestFit="1" customWidth="1"/>
    <col min="27" max="27" width="24.59765625" style="1" bestFit="1" customWidth="1"/>
    <col min="28" max="28" width="27.46484375" style="1" bestFit="1" customWidth="1"/>
    <col min="29" max="29" width="8.53125" style="1" bestFit="1" customWidth="1"/>
    <col min="30" max="30" width="4.796875" style="1" bestFit="1" customWidth="1"/>
    <col min="31" max="31" width="29.59765625" style="1" bestFit="1" customWidth="1"/>
    <col min="32" max="32" width="21.9296875" style="1" bestFit="1" customWidth="1"/>
    <col min="33" max="33" width="24.796875" style="1" bestFit="1" customWidth="1"/>
    <col min="34" max="34" width="8.53125" style="1" bestFit="1" customWidth="1"/>
    <col min="35" max="35" width="8" style="1" bestFit="1" customWidth="1"/>
    <col min="36" max="36" width="26.9296875" style="1" bestFit="1" customWidth="1"/>
    <col min="37" max="37" width="33.73046875" style="1" bestFit="1" customWidth="1"/>
    <col min="38" max="38" width="36.59765625" style="1" bestFit="1" customWidth="1"/>
    <col min="39" max="39" width="8.53125" style="1" bestFit="1" customWidth="1"/>
    <col min="40" max="40" width="7.796875" style="1" bestFit="1" customWidth="1"/>
    <col min="41" max="41" width="38.6640625" style="1" bestFit="1" customWidth="1"/>
    <col min="42" max="42" width="16.796875" style="1" bestFit="1" customWidth="1"/>
    <col min="43" max="43" width="19.59765625" style="1" bestFit="1" customWidth="1"/>
    <col min="44" max="44" width="8.53125" style="1" bestFit="1" customWidth="1"/>
    <col min="45" max="45" width="12.86328125" style="1" bestFit="1" customWidth="1"/>
    <col min="46" max="46" width="21.73046875" style="1" bestFit="1" customWidth="1"/>
    <col min="47" max="47" width="16.265625" style="1" bestFit="1" customWidth="1"/>
    <col min="48" max="48" width="19.06640625" style="1" bestFit="1" customWidth="1"/>
    <col min="49" max="49" width="8.53125" style="1" bestFit="1" customWidth="1"/>
    <col min="50" max="50" width="8.33203125" style="1" bestFit="1" customWidth="1"/>
    <col min="51" max="51" width="21.19921875" style="1" bestFit="1" customWidth="1"/>
    <col min="52" max="52" width="14.265625" style="1" bestFit="1" customWidth="1"/>
    <col min="53" max="53" width="17.06640625" style="1" bestFit="1" customWidth="1"/>
    <col min="54" max="54" width="8.53125" style="1" bestFit="1" customWidth="1"/>
    <col min="55" max="55" width="10.53125" style="1" bestFit="1" customWidth="1"/>
    <col min="56" max="56" width="19.19921875" style="1" bestFit="1" customWidth="1"/>
    <col min="57" max="57" width="19.265625" style="1" bestFit="1" customWidth="1"/>
    <col min="58" max="58" width="22.1328125" style="1" bestFit="1" customWidth="1"/>
    <col min="59" max="59" width="8.53125" style="1" bestFit="1" customWidth="1"/>
    <col min="60" max="60" width="9.1328125" style="1" bestFit="1" customWidth="1"/>
    <col min="61" max="61" width="24.265625" style="1" bestFit="1" customWidth="1"/>
    <col min="62" max="62" width="23.265625" style="1" bestFit="1" customWidth="1"/>
    <col min="63" max="63" width="26" style="1" bestFit="1" customWidth="1"/>
    <col min="64" max="64" width="8.53125" style="1" bestFit="1" customWidth="1"/>
    <col min="65" max="65" width="13.06640625" style="1" bestFit="1" customWidth="1"/>
    <col min="66" max="66" width="28.1328125" style="1" bestFit="1" customWidth="1"/>
    <col min="67" max="67" width="15.33203125" style="1" bestFit="1" customWidth="1"/>
    <col min="68" max="16384" width="9.06640625" style="1"/>
  </cols>
  <sheetData>
    <row r="1" spans="1:67" ht="42.85" customHeight="1" x14ac:dyDescent="0.45">
      <c r="A1" s="2" t="s">
        <v>0</v>
      </c>
      <c r="B1" s="2" t="s">
        <v>1</v>
      </c>
      <c r="C1" s="2" t="s">
        <v>2</v>
      </c>
      <c r="D1" s="2" t="s">
        <v>47</v>
      </c>
      <c r="E1" s="2"/>
      <c r="F1" s="2" t="s">
        <v>3</v>
      </c>
      <c r="G1" s="2" t="s">
        <v>4</v>
      </c>
      <c r="H1" s="2" t="s">
        <v>5</v>
      </c>
      <c r="I1" s="2" t="s">
        <v>47</v>
      </c>
      <c r="J1" s="2"/>
      <c r="K1" s="2" t="s">
        <v>6</v>
      </c>
      <c r="L1" s="2" t="s">
        <v>7</v>
      </c>
      <c r="M1" s="2" t="s">
        <v>8</v>
      </c>
      <c r="N1" s="2" t="s">
        <v>47</v>
      </c>
      <c r="O1" s="2"/>
      <c r="P1" s="2" t="s">
        <v>9</v>
      </c>
      <c r="Q1" s="2" t="s">
        <v>10</v>
      </c>
      <c r="R1" s="2" t="s">
        <v>11</v>
      </c>
      <c r="S1" s="2" t="s">
        <v>47</v>
      </c>
      <c r="T1" s="2"/>
      <c r="U1" s="2" t="s">
        <v>12</v>
      </c>
      <c r="V1" s="2" t="s">
        <v>13</v>
      </c>
      <c r="W1" s="2" t="s">
        <v>14</v>
      </c>
      <c r="X1" s="2" t="s">
        <v>47</v>
      </c>
      <c r="Y1" s="2"/>
      <c r="Z1" s="2" t="s">
        <v>15</v>
      </c>
      <c r="AA1" s="2" t="s">
        <v>16</v>
      </c>
      <c r="AB1" s="2" t="s">
        <v>17</v>
      </c>
      <c r="AC1" s="2" t="s">
        <v>47</v>
      </c>
      <c r="AD1" s="2"/>
      <c r="AE1" s="2" t="s">
        <v>18</v>
      </c>
      <c r="AF1" s="2" t="s">
        <v>19</v>
      </c>
      <c r="AG1" s="2" t="s">
        <v>20</v>
      </c>
      <c r="AH1" s="2" t="s">
        <v>47</v>
      </c>
      <c r="AI1" s="2"/>
      <c r="AJ1" s="2" t="s">
        <v>21</v>
      </c>
      <c r="AK1" s="2" t="s">
        <v>22</v>
      </c>
      <c r="AL1" s="2" t="s">
        <v>23</v>
      </c>
      <c r="AM1" s="2" t="s">
        <v>47</v>
      </c>
      <c r="AN1" s="2"/>
      <c r="AO1" s="2" t="s">
        <v>24</v>
      </c>
      <c r="AP1" s="2" t="s">
        <v>25</v>
      </c>
      <c r="AQ1" s="2" t="s">
        <v>26</v>
      </c>
      <c r="AR1" s="2" t="s">
        <v>47</v>
      </c>
      <c r="AS1" s="2"/>
      <c r="AT1" s="2" t="s">
        <v>27</v>
      </c>
      <c r="AU1" s="2" t="s">
        <v>28</v>
      </c>
      <c r="AV1" s="2" t="s">
        <v>29</v>
      </c>
      <c r="AW1" s="2" t="s">
        <v>47</v>
      </c>
      <c r="AX1" s="2"/>
      <c r="AY1" s="2" t="s">
        <v>30</v>
      </c>
      <c r="AZ1" s="2" t="s">
        <v>31</v>
      </c>
      <c r="BA1" s="2" t="s">
        <v>32</v>
      </c>
      <c r="BB1" s="2" t="s">
        <v>47</v>
      </c>
      <c r="BC1" s="2"/>
      <c r="BD1" s="2" t="s">
        <v>33</v>
      </c>
      <c r="BE1" s="2" t="s">
        <v>34</v>
      </c>
      <c r="BF1" s="2" t="s">
        <v>35</v>
      </c>
      <c r="BG1" s="2" t="s">
        <v>47</v>
      </c>
      <c r="BH1" s="2"/>
      <c r="BI1" s="2" t="s">
        <v>36</v>
      </c>
      <c r="BJ1" s="2" t="s">
        <v>37</v>
      </c>
      <c r="BK1" s="2" t="s">
        <v>38</v>
      </c>
      <c r="BL1" s="2" t="s">
        <v>47</v>
      </c>
      <c r="BM1" s="2"/>
      <c r="BN1" s="2" t="s">
        <v>39</v>
      </c>
      <c r="BO1" s="2" t="s">
        <v>40</v>
      </c>
    </row>
    <row r="2" spans="1:67" ht="42.85" customHeight="1" x14ac:dyDescent="0.45">
      <c r="A2" s="2">
        <v>1</v>
      </c>
      <c r="B2" s="3">
        <v>0.19495147829787199</v>
      </c>
      <c r="C2" s="3">
        <v>0.69731668672323599</v>
      </c>
      <c r="D2" s="3">
        <f>IF(B2 &gt; $B$18 + $C$18, 1, IF(B2 &gt;= $B$18 + $C$18/2, 0.5, 0))</f>
        <v>0</v>
      </c>
      <c r="E2" s="3"/>
      <c r="F2" s="3" t="s">
        <v>41</v>
      </c>
      <c r="G2" s="4">
        <v>0.82976741865957504</v>
      </c>
      <c r="H2" s="4">
        <v>0.69014505079739397</v>
      </c>
      <c r="I2" s="4">
        <f>IF(G2 &gt; $G$18 + $H$18, 1, IF(G2 &gt;= $G$18 + $H$18/2, 0.5, 0))</f>
        <v>1</v>
      </c>
      <c r="J2" s="4" t="s">
        <v>49</v>
      </c>
      <c r="K2" s="4" t="s">
        <v>41</v>
      </c>
      <c r="L2" s="3">
        <v>-0.67837842400000004</v>
      </c>
      <c r="M2" s="3">
        <v>0.54501226441881201</v>
      </c>
      <c r="N2" s="3">
        <f>IF(L2 &gt; $L$18 + $M$18, 1, IF(L2 &gt;= $L$18 + $M$18/2, 0.5, 0))</f>
        <v>0</v>
      </c>
      <c r="O2" s="3"/>
      <c r="P2" s="3" t="s">
        <v>42</v>
      </c>
      <c r="Q2" s="4">
        <v>0.17945416976595699</v>
      </c>
      <c r="R2" s="4">
        <v>0.52052058175754201</v>
      </c>
      <c r="S2" s="4">
        <f>IF(Q2 &gt; $Q$18 + $R$18, 1, IF(Q2 &gt;= $Q$18 + $R$18/2, 0.5, 0))</f>
        <v>0</v>
      </c>
      <c r="T2" s="4"/>
      <c r="U2" s="4" t="s">
        <v>43</v>
      </c>
      <c r="V2" s="3">
        <v>3.0698578538297898</v>
      </c>
      <c r="W2" s="3">
        <v>1.3836962673201501</v>
      </c>
      <c r="X2" s="3">
        <f>IF(V2 &gt; $V$18 + $W$18, 1, IF(V2 &gt;= $V$18 + $W$18/2, 0.5, 0))</f>
        <v>1</v>
      </c>
      <c r="Y2" s="3" t="s">
        <v>52</v>
      </c>
      <c r="Z2" s="3" t="s">
        <v>43</v>
      </c>
      <c r="AA2" s="4">
        <v>-0.15189547410638299</v>
      </c>
      <c r="AB2" s="4">
        <v>0.30650447240328499</v>
      </c>
      <c r="AC2" s="4">
        <f>IF(AA2 &gt; $AA$18 + $AB$18, 1, IF(AA2 &gt;= $AA$18 + $AB$18/2, 0.5, 0))</f>
        <v>0</v>
      </c>
      <c r="AD2" s="4"/>
      <c r="AE2" s="4" t="s">
        <v>41</v>
      </c>
      <c r="AF2" s="3">
        <v>-0.43578771425531898</v>
      </c>
      <c r="AG2" s="3">
        <v>0.21737199633608201</v>
      </c>
      <c r="AH2" s="3">
        <f>IF(AF2 &gt; $AF$18 + $AG$18, 1, IF(AF2 &gt;= $AF$18 + $AG$18/2, 0.5, 0))</f>
        <v>0</v>
      </c>
      <c r="AI2" s="3"/>
      <c r="AJ2" s="3" t="s">
        <v>42</v>
      </c>
      <c r="AK2" s="4">
        <v>0.38894582212765999</v>
      </c>
      <c r="AL2" s="4">
        <v>0.72069895558852604</v>
      </c>
      <c r="AM2" s="4">
        <f>IF(AK2 &gt; $AK$18 + $AL$18, 1, IF(AK2 &gt;= $AK$18 + $AL$18/2, 0.5, 0))</f>
        <v>1</v>
      </c>
      <c r="AN2" s="4" t="s">
        <v>55</v>
      </c>
      <c r="AO2" s="4" t="s">
        <v>41</v>
      </c>
      <c r="AP2" s="3">
        <v>0.170212765957447</v>
      </c>
      <c r="AQ2" s="3">
        <v>0.37988264413072098</v>
      </c>
      <c r="AR2" s="3">
        <f>IF(AP2 &gt; $AP$18 + $AQ$18, 1, IF(AP2 &gt;= $AP$18 + $AQ$18/2, 0.5, 0))</f>
        <v>0.5</v>
      </c>
      <c r="AS2" s="3" t="s">
        <v>56</v>
      </c>
      <c r="AT2" s="3" t="s">
        <v>43</v>
      </c>
      <c r="AU2" s="4">
        <v>0.12765957446808501</v>
      </c>
      <c r="AV2" s="4">
        <v>0.33731814917823899</v>
      </c>
      <c r="AW2" s="4">
        <f>IF(AU2 &gt; $AU$18 + $AV$18, 1, IF(AU2 &gt;= $AU$18 + $AV$18/2, 0.5, 0))</f>
        <v>0</v>
      </c>
      <c r="AX2" s="4"/>
      <c r="AY2" s="4" t="s">
        <v>41</v>
      </c>
      <c r="AZ2" s="3">
        <v>4.2553191489361701E-2</v>
      </c>
      <c r="BA2" s="3">
        <v>0.20402970888857899</v>
      </c>
      <c r="BB2" s="3">
        <f>IF(AZ2 &gt; $AZ$18 + $BA$18, 1, IF(AZ2 &gt;= $AZ$18 + $BA$18/2, 0.5, 0))</f>
        <v>0</v>
      </c>
      <c r="BC2" s="3"/>
      <c r="BD2" s="3" t="s">
        <v>43</v>
      </c>
      <c r="BE2" s="4">
        <v>0</v>
      </c>
      <c r="BF2" s="4">
        <v>0</v>
      </c>
      <c r="BG2" s="4">
        <f>IF(BE2 &gt; $BE$18 + $BF$18, 1, IF(BE2 &gt;= $BE$18 + $BF$18/2, 0.5, 0))</f>
        <v>0</v>
      </c>
      <c r="BH2" s="4"/>
      <c r="BI2" s="4" t="s">
        <v>41</v>
      </c>
      <c r="BJ2" s="3">
        <v>2.1276595744680899E-2</v>
      </c>
      <c r="BK2" s="3">
        <v>0.145864991497895</v>
      </c>
      <c r="BL2" s="3">
        <f>IF(BJ2 &gt; $BJ$18 + $BK$18, 1, IF(BJ2 &gt;= $BJ$18 + $BK$18/2, 0.5, 0))</f>
        <v>0</v>
      </c>
      <c r="BM2" s="3"/>
      <c r="BN2" s="3" t="s">
        <v>43</v>
      </c>
      <c r="BO2" s="2" t="s">
        <v>44</v>
      </c>
    </row>
    <row r="3" spans="1:67" ht="42.85" customHeight="1" x14ac:dyDescent="0.45">
      <c r="A3" s="2">
        <v>2</v>
      </c>
      <c r="B3" s="3">
        <v>4.3721415189189199E-2</v>
      </c>
      <c r="C3" s="3">
        <v>0.59860048958510004</v>
      </c>
      <c r="D3" s="3">
        <f t="shared" ref="D3:D17" si="0">IF(B3 &gt; $B$18 + $C$18, 1, IF(B3 &gt;= $B$18 + $C$18/2, 0.5, 0))</f>
        <v>0</v>
      </c>
      <c r="E3" s="3"/>
      <c r="F3" s="3" t="s">
        <v>41</v>
      </c>
      <c r="G3" s="4">
        <v>-4.9141986738738798E-2</v>
      </c>
      <c r="H3" s="4">
        <v>0.32686461501276798</v>
      </c>
      <c r="I3" s="4">
        <f t="shared" ref="I3:I17" si="1">IF(G3 &gt; $G$18 + $H$18, 1, IF(G3 &gt;= $G$18 + $H$18/2, 0.5, 0))</f>
        <v>0</v>
      </c>
      <c r="J3" s="4"/>
      <c r="K3" s="4" t="s">
        <v>42</v>
      </c>
      <c r="L3" s="3">
        <v>-0.848550285783784</v>
      </c>
      <c r="M3" s="3">
        <v>0.50643362831304595</v>
      </c>
      <c r="N3" s="3">
        <f t="shared" ref="N3:N17" si="2">IF(L3 &gt; $L$18 + $M$18, 1, IF(L3 &gt;= $L$18 + $M$18/2, 0.5, 0))</f>
        <v>0</v>
      </c>
      <c r="O3" s="3"/>
      <c r="P3" s="3" t="s">
        <v>42</v>
      </c>
      <c r="Q3" s="4">
        <v>-0.21890266290991001</v>
      </c>
      <c r="R3" s="4">
        <v>0.124492490818376</v>
      </c>
      <c r="S3" s="4">
        <f t="shared" ref="S3:S17" si="3">IF(Q3 &gt; $Q$18 + $R$18, 1, IF(Q3 &gt;= $Q$18 + $R$18/2, 0.5, 0))</f>
        <v>0</v>
      </c>
      <c r="T3" s="4"/>
      <c r="U3" s="4" t="s">
        <v>41</v>
      </c>
      <c r="V3" s="3">
        <v>-0.22544218858558501</v>
      </c>
      <c r="W3" s="3">
        <v>0.52685622826046596</v>
      </c>
      <c r="X3" s="3">
        <f t="shared" ref="X3:X17" si="4">IF(V3 &gt; $V$18 + $W$18, 1, IF(V3 &gt;= $V$18 + $W$18/2, 0.5, 0))</f>
        <v>0</v>
      </c>
      <c r="Y3" s="3"/>
      <c r="Z3" s="3" t="s">
        <v>41</v>
      </c>
      <c r="AA3" s="4">
        <v>-0.24852880160360399</v>
      </c>
      <c r="AB3" s="4">
        <v>0.27838662054479901</v>
      </c>
      <c r="AC3" s="4">
        <f t="shared" ref="AC3:AC17" si="5">IF(AA3 &gt; $AA$18 + $AB$18, 1, IF(AA3 &gt;= $AA$18 + $AB$18/2, 0.5, 0))</f>
        <v>0</v>
      </c>
      <c r="AD3" s="4"/>
      <c r="AE3" s="4" t="s">
        <v>41</v>
      </c>
      <c r="AF3" s="3">
        <v>-0.73810946085585605</v>
      </c>
      <c r="AG3" s="3">
        <v>0.14389634989880901</v>
      </c>
      <c r="AH3" s="3">
        <f t="shared" ref="AH3:AH17" si="6">IF(AF3 &gt; $AF$18 + $AG$18, 1, IF(AF3 &gt;= $AF$18 + $AG$18/2, 0.5, 0))</f>
        <v>0</v>
      </c>
      <c r="AI3" s="3"/>
      <c r="AJ3" s="3" t="s">
        <v>42</v>
      </c>
      <c r="AK3" s="4">
        <v>-0.54506794721621599</v>
      </c>
      <c r="AL3" s="4">
        <v>0.334410050479167</v>
      </c>
      <c r="AM3" s="4">
        <f t="shared" ref="AM3:AM17" si="7">IF(AK3 &gt; $AK$18 + $AL$18, 1, IF(AK3 &gt;= $AK$18 + $AL$18/2, 0.5, 0))</f>
        <v>0</v>
      </c>
      <c r="AN3" s="4"/>
      <c r="AO3" s="4" t="s">
        <v>42</v>
      </c>
      <c r="AP3" s="3">
        <v>0.18918918918918901</v>
      </c>
      <c r="AQ3" s="3">
        <v>0.39343507061668398</v>
      </c>
      <c r="AR3" s="3">
        <f t="shared" ref="AR3:AR17" si="8">IF(AP3 &gt; $AP$18 + $AQ$18, 1, IF(AP3 &gt;= $AP$18 + $AQ$18/2, 0.5, 0))</f>
        <v>0.5</v>
      </c>
      <c r="AS3" s="3" t="s">
        <v>56</v>
      </c>
      <c r="AT3" s="3" t="s">
        <v>43</v>
      </c>
      <c r="AU3" s="4">
        <v>9.90990990990991E-2</v>
      </c>
      <c r="AV3" s="4">
        <v>0.30015011259383201</v>
      </c>
      <c r="AW3" s="4">
        <f t="shared" ref="AW3:AW17" si="9">IF(AU3 &gt; $AU$18 + $AV$18, 1, IF(AU3 &gt;= $AU$18 + $AV$18/2, 0.5, 0))</f>
        <v>0</v>
      </c>
      <c r="AX3" s="4"/>
      <c r="AY3" s="4" t="s">
        <v>41</v>
      </c>
      <c r="AZ3" s="3">
        <v>0.56756756756756799</v>
      </c>
      <c r="BA3" s="3">
        <v>0.49766037381516298</v>
      </c>
      <c r="BB3" s="3">
        <f t="shared" ref="BB3:BB17" si="10">IF(AZ3 &gt; $AZ$18 + $BA$18, 1, IF(AZ3 &gt;= $AZ$18 + $BA$18/2, 0.5, 0))</f>
        <v>1</v>
      </c>
      <c r="BC3" s="3" t="s">
        <v>59</v>
      </c>
      <c r="BD3" s="3" t="s">
        <v>43</v>
      </c>
      <c r="BE3" s="4">
        <v>0</v>
      </c>
      <c r="BF3" s="4">
        <v>0</v>
      </c>
      <c r="BG3" s="4">
        <f t="shared" ref="BG3:BG17" si="11">IF(BE3 &gt; $BE$18 + $BF$18, 1, IF(BE3 &gt;= $BE$18 + $BF$18/2, 0.5, 0))</f>
        <v>0</v>
      </c>
      <c r="BH3" s="4"/>
      <c r="BI3" s="4" t="s">
        <v>41</v>
      </c>
      <c r="BJ3" s="3">
        <v>0.29729729729729698</v>
      </c>
      <c r="BK3" s="3">
        <v>0.45914138433690599</v>
      </c>
      <c r="BL3" s="3">
        <f t="shared" ref="BL3:BL17" si="12">IF(BJ3 &gt; $BJ$18 + $BK$18, 1, IF(BJ3 &gt;= $BJ$18 + $BK$18/2, 0.5, 0))</f>
        <v>1</v>
      </c>
      <c r="BM3" s="3" t="s">
        <v>61</v>
      </c>
      <c r="BN3" s="3" t="s">
        <v>43</v>
      </c>
      <c r="BO3" s="2" t="s">
        <v>44</v>
      </c>
    </row>
    <row r="4" spans="1:67" ht="42.85" customHeight="1" x14ac:dyDescent="0.45">
      <c r="A4" s="2">
        <v>3</v>
      </c>
      <c r="B4" s="3">
        <v>-0.27258521819047599</v>
      </c>
      <c r="C4" s="3">
        <v>0.67555176700958797</v>
      </c>
      <c r="D4" s="3">
        <f t="shared" si="0"/>
        <v>0</v>
      </c>
      <c r="E4" s="3"/>
      <c r="F4" s="3" t="s">
        <v>41</v>
      </c>
      <c r="G4" s="4">
        <v>-0.52027783119047599</v>
      </c>
      <c r="H4" s="4">
        <v>0.57661794552516299</v>
      </c>
      <c r="I4" s="4">
        <f t="shared" si="1"/>
        <v>0</v>
      </c>
      <c r="J4" s="4"/>
      <c r="K4" s="4" t="s">
        <v>42</v>
      </c>
      <c r="L4" s="3">
        <v>0.93860246742857101</v>
      </c>
      <c r="M4" s="3">
        <v>0.38767577706471301</v>
      </c>
      <c r="N4" s="3">
        <f t="shared" si="2"/>
        <v>1</v>
      </c>
      <c r="O4" s="3" t="s">
        <v>50</v>
      </c>
      <c r="P4" s="3" t="s">
        <v>43</v>
      </c>
      <c r="Q4" s="4">
        <v>-0.16072509119047601</v>
      </c>
      <c r="R4" s="4">
        <v>0.209781293798109</v>
      </c>
      <c r="S4" s="4">
        <f t="shared" si="3"/>
        <v>0</v>
      </c>
      <c r="T4" s="4"/>
      <c r="U4" s="4" t="s">
        <v>41</v>
      </c>
      <c r="V4" s="3">
        <v>-3.5451102857142897E-2</v>
      </c>
      <c r="W4" s="3">
        <v>1.0163399420204</v>
      </c>
      <c r="X4" s="3">
        <f t="shared" si="4"/>
        <v>0</v>
      </c>
      <c r="Y4" s="3"/>
      <c r="Z4" s="3" t="s">
        <v>41</v>
      </c>
      <c r="AA4" s="4">
        <v>6.3590361408095202</v>
      </c>
      <c r="AB4" s="4">
        <v>1.6001842139787099</v>
      </c>
      <c r="AC4" s="4">
        <f t="shared" si="5"/>
        <v>1</v>
      </c>
      <c r="AD4" s="4" t="s">
        <v>53</v>
      </c>
      <c r="AE4" s="4" t="s">
        <v>43</v>
      </c>
      <c r="AF4" s="3">
        <v>0.93099920857142904</v>
      </c>
      <c r="AG4" s="3">
        <v>0.85672334738471001</v>
      </c>
      <c r="AH4" s="3">
        <f t="shared" si="6"/>
        <v>1</v>
      </c>
      <c r="AI4" s="3" t="s">
        <v>54</v>
      </c>
      <c r="AJ4" s="3" t="s">
        <v>43</v>
      </c>
      <c r="AK4" s="4">
        <v>-0.337946128095238</v>
      </c>
      <c r="AL4" s="4">
        <v>0.32383611791425898</v>
      </c>
      <c r="AM4" s="4">
        <f t="shared" si="7"/>
        <v>0</v>
      </c>
      <c r="AN4" s="4"/>
      <c r="AO4" s="4" t="s">
        <v>42</v>
      </c>
      <c r="AP4" s="3">
        <v>4.7619047619047603E-2</v>
      </c>
      <c r="AQ4" s="3">
        <v>0.218217890235992</v>
      </c>
      <c r="AR4" s="3">
        <f t="shared" si="8"/>
        <v>0</v>
      </c>
      <c r="AS4" s="3"/>
      <c r="AT4" s="3" t="s">
        <v>43</v>
      </c>
      <c r="AU4" s="4">
        <v>0.19047619047618999</v>
      </c>
      <c r="AV4" s="4">
        <v>0.40237390808147799</v>
      </c>
      <c r="AW4" s="4">
        <f t="shared" si="9"/>
        <v>0</v>
      </c>
      <c r="AX4" s="4"/>
      <c r="AY4" s="4" t="s">
        <v>41</v>
      </c>
      <c r="AZ4" s="3">
        <v>0</v>
      </c>
      <c r="BA4" s="3">
        <v>0</v>
      </c>
      <c r="BB4" s="3">
        <f t="shared" si="10"/>
        <v>0</v>
      </c>
      <c r="BC4" s="3"/>
      <c r="BD4" s="3" t="s">
        <v>41</v>
      </c>
      <c r="BE4" s="4">
        <v>0</v>
      </c>
      <c r="BF4" s="4">
        <v>0</v>
      </c>
      <c r="BG4" s="4">
        <f t="shared" si="11"/>
        <v>0</v>
      </c>
      <c r="BH4" s="4"/>
      <c r="BI4" s="4" t="s">
        <v>41</v>
      </c>
      <c r="BJ4" s="3">
        <v>0.238095238095238</v>
      </c>
      <c r="BK4" s="3">
        <v>0.436435780471985</v>
      </c>
      <c r="BL4" s="3">
        <f t="shared" si="12"/>
        <v>0</v>
      </c>
      <c r="BM4" s="3"/>
      <c r="BN4" s="3" t="s">
        <v>43</v>
      </c>
      <c r="BO4" s="2" t="s">
        <v>44</v>
      </c>
    </row>
    <row r="5" spans="1:67" ht="42.85" customHeight="1" x14ac:dyDescent="0.45">
      <c r="A5" s="6">
        <v>4</v>
      </c>
      <c r="B5" s="6">
        <v>3.8403771795918402</v>
      </c>
      <c r="C5" s="6">
        <v>1.0024002921125099</v>
      </c>
      <c r="D5" s="6">
        <f t="shared" si="0"/>
        <v>1</v>
      </c>
      <c r="E5" s="6" t="s">
        <v>48</v>
      </c>
      <c r="F5" s="6" t="s">
        <v>43</v>
      </c>
      <c r="G5" s="6">
        <v>-0.26610211351020402</v>
      </c>
      <c r="H5" s="6">
        <v>0.53358227565801097</v>
      </c>
      <c r="I5" s="6">
        <f t="shared" si="1"/>
        <v>0</v>
      </c>
      <c r="J5" s="6"/>
      <c r="K5" s="6" t="s">
        <v>42</v>
      </c>
      <c r="L5" s="6">
        <v>-0.52648662728571405</v>
      </c>
      <c r="M5" s="6">
        <v>0.68220003204900903</v>
      </c>
      <c r="N5" s="6">
        <f t="shared" si="2"/>
        <v>0</v>
      </c>
      <c r="O5" s="6"/>
      <c r="P5" s="6" t="s">
        <v>42</v>
      </c>
      <c r="Q5" s="6">
        <v>-0.19805742600000001</v>
      </c>
      <c r="R5" s="6">
        <v>0.28947186352333598</v>
      </c>
      <c r="S5" s="6">
        <f t="shared" si="3"/>
        <v>0</v>
      </c>
      <c r="T5" s="6"/>
      <c r="U5" s="6" t="s">
        <v>41</v>
      </c>
      <c r="V5" s="6">
        <v>-0.17581794983673499</v>
      </c>
      <c r="W5" s="6">
        <v>0.44725137008571603</v>
      </c>
      <c r="X5" s="6">
        <f t="shared" si="4"/>
        <v>0</v>
      </c>
      <c r="Y5" s="6"/>
      <c r="Z5" s="6" t="s">
        <v>41</v>
      </c>
      <c r="AA5" s="6">
        <v>0.357590575877551</v>
      </c>
      <c r="AB5" s="6">
        <v>1.35441881206945</v>
      </c>
      <c r="AC5" s="6">
        <f t="shared" si="5"/>
        <v>0</v>
      </c>
      <c r="AD5" s="6"/>
      <c r="AE5" s="6" t="s">
        <v>43</v>
      </c>
      <c r="AF5" s="6">
        <v>-0.63588505622448999</v>
      </c>
      <c r="AG5" s="6">
        <v>0.346005337323534</v>
      </c>
      <c r="AH5" s="6">
        <f t="shared" si="6"/>
        <v>0</v>
      </c>
      <c r="AI5" s="6"/>
      <c r="AJ5" s="6" t="s">
        <v>42</v>
      </c>
      <c r="AK5" s="6">
        <v>-0.45104698267346899</v>
      </c>
      <c r="AL5" s="6">
        <v>0.42559425777154197</v>
      </c>
      <c r="AM5" s="6">
        <f t="shared" si="7"/>
        <v>0</v>
      </c>
      <c r="AN5" s="6"/>
      <c r="AO5" s="6" t="s">
        <v>42</v>
      </c>
      <c r="AP5" s="6">
        <v>4.08163265306122E-2</v>
      </c>
      <c r="AQ5" s="6">
        <v>0.19991494790174599</v>
      </c>
      <c r="AR5" s="6">
        <f t="shared" si="8"/>
        <v>0</v>
      </c>
      <c r="AS5" s="6"/>
      <c r="AT5" s="6" t="s">
        <v>43</v>
      </c>
      <c r="AU5" s="6">
        <v>0.61224489795918402</v>
      </c>
      <c r="AV5" s="6">
        <v>0.49228745543179397</v>
      </c>
      <c r="AW5" s="6">
        <f t="shared" si="9"/>
        <v>1</v>
      </c>
      <c r="AX5" s="6" t="s">
        <v>58</v>
      </c>
      <c r="AY5" s="6" t="s">
        <v>41</v>
      </c>
      <c r="AZ5" s="6">
        <v>0</v>
      </c>
      <c r="BA5" s="6">
        <v>0</v>
      </c>
      <c r="BB5" s="6">
        <f t="shared" si="10"/>
        <v>0</v>
      </c>
      <c r="BC5" s="6"/>
      <c r="BD5" s="6" t="s">
        <v>41</v>
      </c>
      <c r="BE5" s="6">
        <v>0</v>
      </c>
      <c r="BF5" s="6">
        <v>0</v>
      </c>
      <c r="BG5" s="6">
        <f t="shared" si="11"/>
        <v>0</v>
      </c>
      <c r="BH5" s="6"/>
      <c r="BI5" s="6" t="s">
        <v>41</v>
      </c>
      <c r="BJ5" s="6">
        <v>0.22448979591836701</v>
      </c>
      <c r="BK5" s="6">
        <v>0.42156979070537598</v>
      </c>
      <c r="BL5" s="6">
        <f t="shared" si="12"/>
        <v>0</v>
      </c>
      <c r="BM5" s="6"/>
      <c r="BN5" s="6" t="s">
        <v>43</v>
      </c>
      <c r="BO5" s="6" t="s">
        <v>44</v>
      </c>
    </row>
    <row r="6" spans="1:67" ht="42.85" customHeight="1" x14ac:dyDescent="0.45">
      <c r="A6" s="6">
        <v>5</v>
      </c>
      <c r="B6" s="6">
        <v>0.34785028277777802</v>
      </c>
      <c r="C6" s="6">
        <v>0.68194495782236697</v>
      </c>
      <c r="D6" s="6">
        <f t="shared" si="0"/>
        <v>1</v>
      </c>
      <c r="E6" s="6" t="s">
        <v>48</v>
      </c>
      <c r="F6" s="6" t="s">
        <v>41</v>
      </c>
      <c r="G6" s="6">
        <v>-0.19935308462500001</v>
      </c>
      <c r="H6" s="6">
        <v>0.47698277687254598</v>
      </c>
      <c r="I6" s="6">
        <f t="shared" si="1"/>
        <v>0</v>
      </c>
      <c r="J6" s="6"/>
      <c r="K6" s="6" t="s">
        <v>42</v>
      </c>
      <c r="L6" s="6">
        <v>-0.28303850890277799</v>
      </c>
      <c r="M6" s="6">
        <v>0.43299873924888399</v>
      </c>
      <c r="N6" s="6">
        <f t="shared" si="2"/>
        <v>0</v>
      </c>
      <c r="O6" s="6"/>
      <c r="P6" s="6" t="s">
        <v>42</v>
      </c>
      <c r="Q6" s="6">
        <v>-0.21155072587500001</v>
      </c>
      <c r="R6" s="6">
        <v>0.121651910338194</v>
      </c>
      <c r="S6" s="6">
        <f t="shared" si="3"/>
        <v>0</v>
      </c>
      <c r="T6" s="6"/>
      <c r="U6" s="6" t="s">
        <v>41</v>
      </c>
      <c r="V6" s="6">
        <v>-0.31060577430555603</v>
      </c>
      <c r="W6" s="6">
        <v>0.33706584880583901</v>
      </c>
      <c r="X6" s="6">
        <f t="shared" si="4"/>
        <v>0</v>
      </c>
      <c r="Y6" s="6"/>
      <c r="Z6" s="6" t="s">
        <v>41</v>
      </c>
      <c r="AA6" s="6">
        <v>-0.27765316786111099</v>
      </c>
      <c r="AB6" s="6">
        <v>0.26684464453898399</v>
      </c>
      <c r="AC6" s="6">
        <f t="shared" si="5"/>
        <v>0</v>
      </c>
      <c r="AD6" s="6"/>
      <c r="AE6" s="6" t="s">
        <v>41</v>
      </c>
      <c r="AF6" s="6">
        <v>-0.67081038179166697</v>
      </c>
      <c r="AG6" s="6">
        <v>0.19628840195689801</v>
      </c>
      <c r="AH6" s="6">
        <f t="shared" si="6"/>
        <v>0</v>
      </c>
      <c r="AI6" s="6"/>
      <c r="AJ6" s="6" t="s">
        <v>42</v>
      </c>
      <c r="AK6" s="6">
        <v>-0.580852603347222</v>
      </c>
      <c r="AL6" s="6">
        <v>0.33819410966163499</v>
      </c>
      <c r="AM6" s="6">
        <f t="shared" si="7"/>
        <v>0</v>
      </c>
      <c r="AN6" s="6"/>
      <c r="AO6" s="6" t="s">
        <v>42</v>
      </c>
      <c r="AP6" s="6">
        <v>2.7777777777777801E-2</v>
      </c>
      <c r="AQ6" s="6">
        <v>0.16548879560577101</v>
      </c>
      <c r="AR6" s="6">
        <f t="shared" si="8"/>
        <v>0</v>
      </c>
      <c r="AS6" s="6"/>
      <c r="AT6" s="6" t="s">
        <v>43</v>
      </c>
      <c r="AU6" s="6">
        <v>1</v>
      </c>
      <c r="AV6" s="6">
        <v>0</v>
      </c>
      <c r="AW6" s="6">
        <f t="shared" si="9"/>
        <v>1</v>
      </c>
      <c r="AX6" s="6" t="s">
        <v>58</v>
      </c>
      <c r="AY6" s="6" t="s">
        <v>41</v>
      </c>
      <c r="AZ6" s="6">
        <v>2.7777777777777801E-2</v>
      </c>
      <c r="BA6" s="6">
        <v>0.16548879560577101</v>
      </c>
      <c r="BB6" s="6">
        <f t="shared" si="10"/>
        <v>0</v>
      </c>
      <c r="BC6" s="6"/>
      <c r="BD6" s="6" t="s">
        <v>43</v>
      </c>
      <c r="BE6" s="6">
        <v>0</v>
      </c>
      <c r="BF6" s="6">
        <v>0</v>
      </c>
      <c r="BG6" s="6">
        <f t="shared" si="11"/>
        <v>0</v>
      </c>
      <c r="BH6" s="6"/>
      <c r="BI6" s="6" t="s">
        <v>41</v>
      </c>
      <c r="BJ6" s="6">
        <v>0.11111111111111099</v>
      </c>
      <c r="BK6" s="6">
        <v>0.316475108851694</v>
      </c>
      <c r="BL6" s="6">
        <f t="shared" si="12"/>
        <v>0</v>
      </c>
      <c r="BM6" s="6"/>
      <c r="BN6" s="6" t="s">
        <v>43</v>
      </c>
      <c r="BO6" s="6" t="s">
        <v>44</v>
      </c>
    </row>
    <row r="7" spans="1:67" ht="42.85" customHeight="1" x14ac:dyDescent="0.45">
      <c r="A7" s="2">
        <v>6</v>
      </c>
      <c r="B7" s="3">
        <v>-0.52051628566071395</v>
      </c>
      <c r="C7" s="3">
        <v>0.38466006739161701</v>
      </c>
      <c r="D7" s="3">
        <f t="shared" si="0"/>
        <v>0</v>
      </c>
      <c r="E7" s="3"/>
      <c r="F7" s="3" t="s">
        <v>42</v>
      </c>
      <c r="G7" s="4">
        <v>-0.96454828141071403</v>
      </c>
      <c r="H7" s="4">
        <v>0.22859400015322801</v>
      </c>
      <c r="I7" s="4">
        <f t="shared" si="1"/>
        <v>0</v>
      </c>
      <c r="J7" s="4"/>
      <c r="K7" s="4" t="s">
        <v>42</v>
      </c>
      <c r="L7" s="3">
        <v>1.1236926413928601</v>
      </c>
      <c r="M7" s="3">
        <v>0.18096286028022501</v>
      </c>
      <c r="N7" s="3">
        <f t="shared" si="2"/>
        <v>1</v>
      </c>
      <c r="O7" s="3" t="s">
        <v>50</v>
      </c>
      <c r="P7" s="3" t="s">
        <v>43</v>
      </c>
      <c r="Q7" s="4">
        <v>-0.219873534178571</v>
      </c>
      <c r="R7" s="4">
        <v>0.26047207979590198</v>
      </c>
      <c r="S7" s="4">
        <f t="shared" si="3"/>
        <v>0</v>
      </c>
      <c r="T7" s="4"/>
      <c r="U7" s="4" t="s">
        <v>41</v>
      </c>
      <c r="V7" s="3">
        <v>-0.33519138653571401</v>
      </c>
      <c r="W7" s="3">
        <v>0.42275272675518999</v>
      </c>
      <c r="X7" s="3">
        <f t="shared" si="4"/>
        <v>0</v>
      </c>
      <c r="Y7" s="3"/>
      <c r="Z7" s="3" t="s">
        <v>41</v>
      </c>
      <c r="AA7" s="4">
        <v>-0.228398071089286</v>
      </c>
      <c r="AB7" s="4">
        <v>0.33083770522550199</v>
      </c>
      <c r="AC7" s="4">
        <f t="shared" si="5"/>
        <v>0</v>
      </c>
      <c r="AD7" s="4"/>
      <c r="AE7" s="4" t="s">
        <v>41</v>
      </c>
      <c r="AF7" s="3">
        <v>1.53043361158929</v>
      </c>
      <c r="AG7" s="3">
        <v>0.459256070734959</v>
      </c>
      <c r="AH7" s="3">
        <f t="shared" si="6"/>
        <v>1</v>
      </c>
      <c r="AI7" s="3" t="s">
        <v>54</v>
      </c>
      <c r="AJ7" s="3" t="s">
        <v>43</v>
      </c>
      <c r="AK7" s="4">
        <v>-0.467825244696429</v>
      </c>
      <c r="AL7" s="4">
        <v>0.172745371003132</v>
      </c>
      <c r="AM7" s="4">
        <f t="shared" si="7"/>
        <v>0</v>
      </c>
      <c r="AN7" s="4"/>
      <c r="AO7" s="4" t="s">
        <v>42</v>
      </c>
      <c r="AP7" s="3">
        <v>0</v>
      </c>
      <c r="AQ7" s="3">
        <v>0</v>
      </c>
      <c r="AR7" s="3">
        <f t="shared" si="8"/>
        <v>0</v>
      </c>
      <c r="AS7" s="3"/>
      <c r="AT7" s="3" t="s">
        <v>41</v>
      </c>
      <c r="AU7" s="4">
        <v>3.5714285714285698E-2</v>
      </c>
      <c r="AV7" s="4">
        <v>0.18725633517970799</v>
      </c>
      <c r="AW7" s="4">
        <f t="shared" si="9"/>
        <v>0</v>
      </c>
      <c r="AX7" s="4"/>
      <c r="AY7" s="4" t="s">
        <v>41</v>
      </c>
      <c r="AZ7" s="3">
        <v>0.39285714285714302</v>
      </c>
      <c r="BA7" s="3">
        <v>0.49280538030458099</v>
      </c>
      <c r="BB7" s="3">
        <f t="shared" si="10"/>
        <v>1</v>
      </c>
      <c r="BC7" s="3" t="s">
        <v>59</v>
      </c>
      <c r="BD7" s="3" t="s">
        <v>43</v>
      </c>
      <c r="BE7" s="4">
        <v>0</v>
      </c>
      <c r="BF7" s="4">
        <v>0</v>
      </c>
      <c r="BG7" s="4">
        <f t="shared" si="11"/>
        <v>0</v>
      </c>
      <c r="BH7" s="4"/>
      <c r="BI7" s="4" t="s">
        <v>41</v>
      </c>
      <c r="BJ7" s="3">
        <v>0.58928571428571397</v>
      </c>
      <c r="BK7" s="3">
        <v>0.49641572439697301</v>
      </c>
      <c r="BL7" s="3">
        <f t="shared" si="12"/>
        <v>1</v>
      </c>
      <c r="BM7" s="3" t="s">
        <v>61</v>
      </c>
      <c r="BN7" s="3" t="s">
        <v>43</v>
      </c>
      <c r="BO7" s="2" t="s">
        <v>44</v>
      </c>
    </row>
    <row r="8" spans="1:67" ht="42.85" customHeight="1" x14ac:dyDescent="0.45">
      <c r="A8" s="2">
        <v>7</v>
      </c>
      <c r="B8" s="3">
        <v>-0.61620857375000004</v>
      </c>
      <c r="C8" s="3">
        <v>2.9787721104088598E-2</v>
      </c>
      <c r="D8" s="3">
        <f t="shared" si="0"/>
        <v>0</v>
      </c>
      <c r="E8" s="3"/>
      <c r="F8" s="3" t="s">
        <v>42</v>
      </c>
      <c r="G8" s="4">
        <v>-1.3986047537499999</v>
      </c>
      <c r="H8" s="4">
        <v>2.1057798251372401E-2</v>
      </c>
      <c r="I8" s="4">
        <f t="shared" si="1"/>
        <v>0</v>
      </c>
      <c r="J8" s="4"/>
      <c r="K8" s="4" t="s">
        <v>42</v>
      </c>
      <c r="L8" s="3">
        <v>1.147324367</v>
      </c>
      <c r="M8" s="3">
        <v>7.45012454555843E-2</v>
      </c>
      <c r="N8" s="3">
        <f t="shared" si="2"/>
        <v>1</v>
      </c>
      <c r="O8" s="3" t="s">
        <v>50</v>
      </c>
      <c r="P8" s="3" t="s">
        <v>43</v>
      </c>
      <c r="Q8" s="4">
        <v>9.1345514971875001</v>
      </c>
      <c r="R8" s="4">
        <v>0.432343383042603</v>
      </c>
      <c r="S8" s="4">
        <f t="shared" si="3"/>
        <v>1</v>
      </c>
      <c r="T8" s="4" t="s">
        <v>51</v>
      </c>
      <c r="U8" s="4" t="s">
        <v>43</v>
      </c>
      <c r="V8" s="3">
        <v>-0.52159150300000001</v>
      </c>
      <c r="W8" s="3">
        <v>0</v>
      </c>
      <c r="X8" s="3">
        <f t="shared" si="4"/>
        <v>0</v>
      </c>
      <c r="Y8" s="3"/>
      <c r="Z8" s="3" t="s">
        <v>42</v>
      </c>
      <c r="AA8" s="4">
        <v>-0.3928664381875</v>
      </c>
      <c r="AB8" s="4">
        <v>1.2906923250000001E-2</v>
      </c>
      <c r="AC8" s="4">
        <f t="shared" si="5"/>
        <v>0</v>
      </c>
      <c r="AD8" s="4"/>
      <c r="AE8" s="4" t="s">
        <v>42</v>
      </c>
      <c r="AF8" s="3">
        <v>-1.7567951753125</v>
      </c>
      <c r="AG8" s="3">
        <v>0.12810664445888401</v>
      </c>
      <c r="AH8" s="3">
        <f t="shared" si="6"/>
        <v>0</v>
      </c>
      <c r="AI8" s="3"/>
      <c r="AJ8" s="3" t="s">
        <v>42</v>
      </c>
      <c r="AK8" s="4">
        <v>-1.0189444135000001</v>
      </c>
      <c r="AL8" s="4">
        <v>3.0243714923830101E-2</v>
      </c>
      <c r="AM8" s="4">
        <f t="shared" si="7"/>
        <v>0</v>
      </c>
      <c r="AN8" s="4"/>
      <c r="AO8" s="4" t="s">
        <v>42</v>
      </c>
      <c r="AP8" s="3">
        <v>0</v>
      </c>
      <c r="AQ8" s="3">
        <v>0</v>
      </c>
      <c r="AR8" s="3">
        <f t="shared" si="8"/>
        <v>0</v>
      </c>
      <c r="AS8" s="3"/>
      <c r="AT8" s="3" t="s">
        <v>41</v>
      </c>
      <c r="AU8" s="4">
        <v>0</v>
      </c>
      <c r="AV8" s="4">
        <v>0</v>
      </c>
      <c r="AW8" s="4">
        <f t="shared" si="9"/>
        <v>0</v>
      </c>
      <c r="AX8" s="4"/>
      <c r="AY8" s="4" t="s">
        <v>41</v>
      </c>
      <c r="AZ8" s="3">
        <v>0</v>
      </c>
      <c r="BA8" s="3">
        <v>0</v>
      </c>
      <c r="BB8" s="3">
        <f t="shared" si="10"/>
        <v>0</v>
      </c>
      <c r="BC8" s="3"/>
      <c r="BD8" s="3" t="s">
        <v>41</v>
      </c>
      <c r="BE8" s="4">
        <v>0</v>
      </c>
      <c r="BF8" s="4">
        <v>0</v>
      </c>
      <c r="BG8" s="4">
        <f t="shared" si="11"/>
        <v>0</v>
      </c>
      <c r="BH8" s="4"/>
      <c r="BI8" s="4" t="s">
        <v>41</v>
      </c>
      <c r="BJ8" s="3">
        <v>0</v>
      </c>
      <c r="BK8" s="3">
        <v>0</v>
      </c>
      <c r="BL8" s="3">
        <f t="shared" si="12"/>
        <v>0</v>
      </c>
      <c r="BM8" s="3"/>
      <c r="BN8" s="3" t="s">
        <v>41</v>
      </c>
      <c r="BO8" s="2" t="s">
        <v>45</v>
      </c>
    </row>
    <row r="9" spans="1:67" ht="42.85" customHeight="1" x14ac:dyDescent="0.45">
      <c r="A9" s="2">
        <v>8</v>
      </c>
      <c r="B9" s="3">
        <v>-0.50356915697101401</v>
      </c>
      <c r="C9" s="3">
        <v>0.25675363563043002</v>
      </c>
      <c r="D9" s="3">
        <f t="shared" si="0"/>
        <v>0</v>
      </c>
      <c r="E9" s="3"/>
      <c r="F9" s="3" t="s">
        <v>42</v>
      </c>
      <c r="G9" s="4">
        <v>-0.84121141615941997</v>
      </c>
      <c r="H9" s="4">
        <v>0.313173592277246</v>
      </c>
      <c r="I9" s="4">
        <f t="shared" si="1"/>
        <v>0</v>
      </c>
      <c r="J9" s="4"/>
      <c r="K9" s="4" t="s">
        <v>42</v>
      </c>
      <c r="L9" s="3">
        <v>0.956997071507246</v>
      </c>
      <c r="M9" s="3">
        <v>0.494340063104169</v>
      </c>
      <c r="N9" s="3">
        <f t="shared" si="2"/>
        <v>1</v>
      </c>
      <c r="O9" s="3" t="s">
        <v>50</v>
      </c>
      <c r="P9" s="3" t="s">
        <v>43</v>
      </c>
      <c r="Q9" s="4">
        <v>-1.1662168927536199E-2</v>
      </c>
      <c r="R9" s="4">
        <v>0.19460263839084199</v>
      </c>
      <c r="S9" s="4">
        <f t="shared" si="3"/>
        <v>0</v>
      </c>
      <c r="T9" s="4"/>
      <c r="U9" s="4" t="s">
        <v>43</v>
      </c>
      <c r="V9" s="3">
        <v>-0.37116791320289799</v>
      </c>
      <c r="W9" s="3">
        <v>0.254469745960344</v>
      </c>
      <c r="X9" s="3">
        <f t="shared" si="4"/>
        <v>0</v>
      </c>
      <c r="Y9" s="3"/>
      <c r="Z9" s="3" t="s">
        <v>42</v>
      </c>
      <c r="AA9" s="4">
        <v>-0.22977761533333299</v>
      </c>
      <c r="AB9" s="4">
        <v>0.28650322336192102</v>
      </c>
      <c r="AC9" s="4">
        <f t="shared" si="5"/>
        <v>0</v>
      </c>
      <c r="AD9" s="4"/>
      <c r="AE9" s="4" t="s">
        <v>41</v>
      </c>
      <c r="AF9" s="3">
        <v>-0.420210842463768</v>
      </c>
      <c r="AG9" s="3">
        <v>0.41080366229089499</v>
      </c>
      <c r="AH9" s="3">
        <f t="shared" si="6"/>
        <v>0</v>
      </c>
      <c r="AI9" s="3"/>
      <c r="AJ9" s="3" t="s">
        <v>42</v>
      </c>
      <c r="AK9" s="4">
        <v>-0.74798666649275303</v>
      </c>
      <c r="AL9" s="4">
        <v>0.13733381962784699</v>
      </c>
      <c r="AM9" s="4">
        <f t="shared" si="7"/>
        <v>0</v>
      </c>
      <c r="AN9" s="4"/>
      <c r="AO9" s="4" t="s">
        <v>42</v>
      </c>
      <c r="AP9" s="3">
        <v>5.7971014492753603E-2</v>
      </c>
      <c r="AQ9" s="3">
        <v>0.23540065789143499</v>
      </c>
      <c r="AR9" s="3">
        <f t="shared" si="8"/>
        <v>0</v>
      </c>
      <c r="AS9" s="3"/>
      <c r="AT9" s="3" t="s">
        <v>43</v>
      </c>
      <c r="AU9" s="4">
        <v>0</v>
      </c>
      <c r="AV9" s="4">
        <v>0</v>
      </c>
      <c r="AW9" s="4">
        <f t="shared" si="9"/>
        <v>0</v>
      </c>
      <c r="AX9" s="4"/>
      <c r="AY9" s="4" t="s">
        <v>41</v>
      </c>
      <c r="AZ9" s="3">
        <v>0.15942028985507201</v>
      </c>
      <c r="BA9" s="3">
        <v>0.36874941299243802</v>
      </c>
      <c r="BB9" s="3">
        <f t="shared" si="10"/>
        <v>0</v>
      </c>
      <c r="BC9" s="3"/>
      <c r="BD9" s="3" t="s">
        <v>43</v>
      </c>
      <c r="BE9" s="4">
        <v>5.7971014492753603E-2</v>
      </c>
      <c r="BF9" s="4">
        <v>0.23540065789143499</v>
      </c>
      <c r="BG9" s="4">
        <f t="shared" si="11"/>
        <v>1</v>
      </c>
      <c r="BH9" s="4" t="s">
        <v>60</v>
      </c>
      <c r="BI9" s="4" t="s">
        <v>43</v>
      </c>
      <c r="BJ9" s="3">
        <v>0.79710144927536197</v>
      </c>
      <c r="BK9" s="3">
        <v>0.405103840897162</v>
      </c>
      <c r="BL9" s="3">
        <f t="shared" si="12"/>
        <v>1</v>
      </c>
      <c r="BM9" s="3" t="s">
        <v>61</v>
      </c>
      <c r="BN9" s="3" t="s">
        <v>43</v>
      </c>
      <c r="BO9" s="2" t="s">
        <v>46</v>
      </c>
    </row>
    <row r="10" spans="1:67" ht="42.85" customHeight="1" x14ac:dyDescent="0.45">
      <c r="A10" s="6">
        <v>9</v>
      </c>
      <c r="B10" s="6">
        <v>0.35142929673912998</v>
      </c>
      <c r="C10" s="6">
        <v>0.95698637197758596</v>
      </c>
      <c r="D10" s="6">
        <f t="shared" si="0"/>
        <v>1</v>
      </c>
      <c r="E10" s="6" t="s">
        <v>48</v>
      </c>
      <c r="F10" s="6" t="s">
        <v>41</v>
      </c>
      <c r="G10" s="6">
        <v>2.25553352275</v>
      </c>
      <c r="H10" s="6">
        <v>0.48087792252940098</v>
      </c>
      <c r="I10" s="6">
        <f t="shared" si="1"/>
        <v>1</v>
      </c>
      <c r="J10" s="6" t="s">
        <v>49</v>
      </c>
      <c r="K10" s="6" t="s">
        <v>43</v>
      </c>
      <c r="L10" s="6">
        <v>-1.0897801546521699</v>
      </c>
      <c r="M10" s="6">
        <v>0.23346092921727199</v>
      </c>
      <c r="N10" s="6">
        <f t="shared" si="2"/>
        <v>0</v>
      </c>
      <c r="O10" s="6"/>
      <c r="P10" s="6" t="s">
        <v>42</v>
      </c>
      <c r="Q10" s="6">
        <v>-0.35144161867391299</v>
      </c>
      <c r="R10" s="6">
        <v>0.105399812715399</v>
      </c>
      <c r="S10" s="6">
        <f t="shared" si="3"/>
        <v>0</v>
      </c>
      <c r="T10" s="6"/>
      <c r="U10" s="6" t="s">
        <v>42</v>
      </c>
      <c r="V10" s="6">
        <v>-0.28397417830434801</v>
      </c>
      <c r="W10" s="6">
        <v>0.390102671973305</v>
      </c>
      <c r="X10" s="6">
        <f t="shared" si="4"/>
        <v>0</v>
      </c>
      <c r="Y10" s="6"/>
      <c r="Z10" s="6" t="s">
        <v>41</v>
      </c>
      <c r="AA10" s="6">
        <v>-0.259126286358696</v>
      </c>
      <c r="AB10" s="6">
        <v>0.23246499385310901</v>
      </c>
      <c r="AC10" s="6">
        <f t="shared" si="5"/>
        <v>0</v>
      </c>
      <c r="AD10" s="6"/>
      <c r="AE10" s="6" t="s">
        <v>41</v>
      </c>
      <c r="AF10" s="6">
        <v>-0.300653908739131</v>
      </c>
      <c r="AG10" s="6">
        <v>7.1284793227021304E-2</v>
      </c>
      <c r="AH10" s="6">
        <f t="shared" si="6"/>
        <v>0</v>
      </c>
      <c r="AI10" s="6"/>
      <c r="AJ10" s="6" t="s">
        <v>42</v>
      </c>
      <c r="AK10" s="6">
        <v>2.7814387504673901</v>
      </c>
      <c r="AL10" s="6">
        <v>0.74930179413818598</v>
      </c>
      <c r="AM10" s="6">
        <f t="shared" si="7"/>
        <v>1</v>
      </c>
      <c r="AN10" s="6" t="s">
        <v>55</v>
      </c>
      <c r="AO10" s="6" t="s">
        <v>43</v>
      </c>
      <c r="AP10" s="6">
        <v>0.315217391304348</v>
      </c>
      <c r="AQ10" s="6">
        <v>0.46714818285974702</v>
      </c>
      <c r="AR10" s="6">
        <f t="shared" si="8"/>
        <v>1</v>
      </c>
      <c r="AS10" s="6" t="s">
        <v>57</v>
      </c>
      <c r="AT10" s="6" t="s">
        <v>43</v>
      </c>
      <c r="AU10" s="6">
        <v>7.6086956521739094E-2</v>
      </c>
      <c r="AV10" s="6">
        <v>0.26659001127895299</v>
      </c>
      <c r="AW10" s="6">
        <f t="shared" si="9"/>
        <v>0</v>
      </c>
      <c r="AX10" s="6"/>
      <c r="AY10" s="6" t="s">
        <v>41</v>
      </c>
      <c r="AZ10" s="6">
        <v>3.2608695652173898E-2</v>
      </c>
      <c r="BA10" s="6">
        <v>0.178583372749133</v>
      </c>
      <c r="BB10" s="6">
        <f t="shared" si="10"/>
        <v>0</v>
      </c>
      <c r="BC10" s="6"/>
      <c r="BD10" s="6" t="s">
        <v>43</v>
      </c>
      <c r="BE10" s="6">
        <v>0</v>
      </c>
      <c r="BF10" s="6">
        <v>0</v>
      </c>
      <c r="BG10" s="6">
        <f t="shared" si="11"/>
        <v>0</v>
      </c>
      <c r="BH10" s="6"/>
      <c r="BI10" s="6" t="s">
        <v>41</v>
      </c>
      <c r="BJ10" s="6">
        <v>0</v>
      </c>
      <c r="BK10" s="6">
        <v>0</v>
      </c>
      <c r="BL10" s="6">
        <f t="shared" si="12"/>
        <v>0</v>
      </c>
      <c r="BM10" s="6"/>
      <c r="BN10" s="6" t="s">
        <v>41</v>
      </c>
      <c r="BO10" s="6" t="s">
        <v>44</v>
      </c>
    </row>
    <row r="11" spans="1:67" ht="42.85" customHeight="1" x14ac:dyDescent="0.45">
      <c r="A11" s="2">
        <v>10</v>
      </c>
      <c r="B11" s="3">
        <v>-8.1914252457142803E-2</v>
      </c>
      <c r="C11" s="3">
        <v>0.66791195445260398</v>
      </c>
      <c r="D11" s="3">
        <f t="shared" si="0"/>
        <v>0</v>
      </c>
      <c r="E11" s="3"/>
      <c r="F11" s="3" t="s">
        <v>41</v>
      </c>
      <c r="G11" s="4">
        <v>-0.119826375485714</v>
      </c>
      <c r="H11" s="4">
        <v>0.72336704107986205</v>
      </c>
      <c r="I11" s="4">
        <f t="shared" si="1"/>
        <v>0</v>
      </c>
      <c r="J11" s="4"/>
      <c r="K11" s="4" t="s">
        <v>42</v>
      </c>
      <c r="L11" s="3">
        <v>0.61362473939999995</v>
      </c>
      <c r="M11" s="3">
        <v>0.59793727147437503</v>
      </c>
      <c r="N11" s="3">
        <f t="shared" si="2"/>
        <v>1</v>
      </c>
      <c r="O11" s="3" t="s">
        <v>50</v>
      </c>
      <c r="P11" s="3" t="s">
        <v>41</v>
      </c>
      <c r="Q11" s="4">
        <v>-0.154316234885714</v>
      </c>
      <c r="R11" s="4">
        <v>0.29207665032685498</v>
      </c>
      <c r="S11" s="4">
        <f t="shared" si="3"/>
        <v>0</v>
      </c>
      <c r="T11" s="4"/>
      <c r="U11" s="4" t="s">
        <v>41</v>
      </c>
      <c r="V11" s="3">
        <v>0.110508558771429</v>
      </c>
      <c r="W11" s="3">
        <v>0.77708070556671505</v>
      </c>
      <c r="X11" s="3">
        <f t="shared" si="4"/>
        <v>0</v>
      </c>
      <c r="Y11" s="3"/>
      <c r="Z11" s="3" t="s">
        <v>41</v>
      </c>
      <c r="AA11" s="4">
        <v>3.2016628730571401</v>
      </c>
      <c r="AB11" s="4">
        <v>0.77903101510119199</v>
      </c>
      <c r="AC11" s="4">
        <f t="shared" si="5"/>
        <v>1</v>
      </c>
      <c r="AD11" s="4" t="s">
        <v>53</v>
      </c>
      <c r="AE11" s="4" t="s">
        <v>43</v>
      </c>
      <c r="AF11" s="3">
        <v>0.54352764628571404</v>
      </c>
      <c r="AG11" s="3">
        <v>0.883981749958896</v>
      </c>
      <c r="AH11" s="3">
        <f t="shared" si="6"/>
        <v>1</v>
      </c>
      <c r="AI11" s="3" t="s">
        <v>54</v>
      </c>
      <c r="AJ11" s="3" t="s">
        <v>43</v>
      </c>
      <c r="AK11" s="4">
        <v>-0.113022433857143</v>
      </c>
      <c r="AL11" s="4">
        <v>0.41051837333667801</v>
      </c>
      <c r="AM11" s="4">
        <f t="shared" si="7"/>
        <v>0</v>
      </c>
      <c r="AN11" s="4"/>
      <c r="AO11" s="4" t="s">
        <v>41</v>
      </c>
      <c r="AP11" s="3">
        <v>0.17142857142857101</v>
      </c>
      <c r="AQ11" s="3">
        <v>0.382385260431097</v>
      </c>
      <c r="AR11" s="3">
        <f t="shared" si="8"/>
        <v>0.5</v>
      </c>
      <c r="AS11" s="3" t="s">
        <v>56</v>
      </c>
      <c r="AT11" s="3" t="s">
        <v>43</v>
      </c>
      <c r="AU11" s="4">
        <v>0.17142857142857101</v>
      </c>
      <c r="AV11" s="4">
        <v>0.382385260431097</v>
      </c>
      <c r="AW11" s="4">
        <f t="shared" si="9"/>
        <v>0</v>
      </c>
      <c r="AX11" s="4"/>
      <c r="AY11" s="4" t="s">
        <v>41</v>
      </c>
      <c r="AZ11" s="3">
        <v>0.17142857142857101</v>
      </c>
      <c r="BA11" s="3">
        <v>0.382385260431097</v>
      </c>
      <c r="BB11" s="3">
        <f t="shared" si="10"/>
        <v>0</v>
      </c>
      <c r="BC11" s="3"/>
      <c r="BD11" s="3" t="s">
        <v>43</v>
      </c>
      <c r="BE11" s="4">
        <v>0</v>
      </c>
      <c r="BF11" s="4">
        <v>0</v>
      </c>
      <c r="BG11" s="4">
        <f t="shared" si="11"/>
        <v>0</v>
      </c>
      <c r="BH11" s="4"/>
      <c r="BI11" s="4" t="s">
        <v>41</v>
      </c>
      <c r="BJ11" s="3">
        <v>0.17142857142857101</v>
      </c>
      <c r="BK11" s="3">
        <v>0.382385260431097</v>
      </c>
      <c r="BL11" s="3">
        <f t="shared" si="12"/>
        <v>0</v>
      </c>
      <c r="BM11" s="3"/>
      <c r="BN11" s="3" t="s">
        <v>43</v>
      </c>
      <c r="BO11" s="2" t="s">
        <v>44</v>
      </c>
    </row>
    <row r="12" spans="1:67" ht="42.85" customHeight="1" x14ac:dyDescent="0.45">
      <c r="A12" s="2">
        <v>11</v>
      </c>
      <c r="B12" s="3">
        <v>-0.47525145605263203</v>
      </c>
      <c r="C12" s="3">
        <v>0.46560265371772203</v>
      </c>
      <c r="D12" s="3">
        <f t="shared" si="0"/>
        <v>0</v>
      </c>
      <c r="E12" s="3"/>
      <c r="F12" s="3" t="s">
        <v>42</v>
      </c>
      <c r="G12" s="4">
        <v>-8.45628999649123E-2</v>
      </c>
      <c r="H12" s="4">
        <v>0.45437835597567899</v>
      </c>
      <c r="I12" s="4">
        <f t="shared" si="1"/>
        <v>0</v>
      </c>
      <c r="J12" s="4"/>
      <c r="K12" s="4" t="s">
        <v>42</v>
      </c>
      <c r="L12" s="3">
        <v>0.51833557889473703</v>
      </c>
      <c r="M12" s="3">
        <v>0.28287857176275899</v>
      </c>
      <c r="N12" s="3">
        <f t="shared" si="2"/>
        <v>1</v>
      </c>
      <c r="O12" s="3" t="s">
        <v>50</v>
      </c>
      <c r="P12" s="3" t="s">
        <v>41</v>
      </c>
      <c r="Q12" s="4">
        <v>-0.39498915724561401</v>
      </c>
      <c r="R12" s="4">
        <v>4.85222907805384E-2</v>
      </c>
      <c r="S12" s="4">
        <f t="shared" si="3"/>
        <v>0</v>
      </c>
      <c r="T12" s="4"/>
      <c r="U12" s="4" t="s">
        <v>42</v>
      </c>
      <c r="V12" s="3">
        <v>3.5010013389824599</v>
      </c>
      <c r="W12" s="3">
        <v>1.0855024507425199</v>
      </c>
      <c r="X12" s="3">
        <f t="shared" si="4"/>
        <v>1</v>
      </c>
      <c r="Y12" s="3" t="s">
        <v>52</v>
      </c>
      <c r="Z12" s="3" t="s">
        <v>43</v>
      </c>
      <c r="AA12" s="4">
        <v>0.60659761173684201</v>
      </c>
      <c r="AB12" s="4">
        <v>1.26889088038011</v>
      </c>
      <c r="AC12" s="4">
        <f t="shared" si="5"/>
        <v>0</v>
      </c>
      <c r="AD12" s="4"/>
      <c r="AE12" s="4" t="s">
        <v>43</v>
      </c>
      <c r="AF12" s="3">
        <v>2.4221812163684202</v>
      </c>
      <c r="AG12" s="3">
        <v>8.76352760524539E-2</v>
      </c>
      <c r="AH12" s="3">
        <f t="shared" si="6"/>
        <v>1</v>
      </c>
      <c r="AI12" s="3" t="s">
        <v>54</v>
      </c>
      <c r="AJ12" s="3" t="s">
        <v>43</v>
      </c>
      <c r="AK12" s="4">
        <v>-0.25861830912280698</v>
      </c>
      <c r="AL12" s="4">
        <v>0.13270848417164</v>
      </c>
      <c r="AM12" s="4">
        <f t="shared" si="7"/>
        <v>0</v>
      </c>
      <c r="AN12" s="4"/>
      <c r="AO12" s="4" t="s">
        <v>41</v>
      </c>
      <c r="AP12" s="3">
        <v>0</v>
      </c>
      <c r="AQ12" s="3">
        <v>0</v>
      </c>
      <c r="AR12" s="3">
        <f t="shared" si="8"/>
        <v>0</v>
      </c>
      <c r="AS12" s="3"/>
      <c r="AT12" s="3" t="s">
        <v>41</v>
      </c>
      <c r="AU12" s="4">
        <v>1.7543859649122799E-2</v>
      </c>
      <c r="AV12" s="4">
        <v>0.132453235706504</v>
      </c>
      <c r="AW12" s="4">
        <f t="shared" si="9"/>
        <v>0</v>
      </c>
      <c r="AX12" s="4"/>
      <c r="AY12" s="4" t="s">
        <v>41</v>
      </c>
      <c r="AZ12" s="3">
        <v>0.26315789473684198</v>
      </c>
      <c r="BA12" s="3">
        <v>0.44426165831931902</v>
      </c>
      <c r="BB12" s="3">
        <f t="shared" si="10"/>
        <v>1</v>
      </c>
      <c r="BC12" s="3" t="s">
        <v>59</v>
      </c>
      <c r="BD12" s="3" t="s">
        <v>43</v>
      </c>
      <c r="BE12" s="4">
        <v>0</v>
      </c>
      <c r="BF12" s="4">
        <v>0</v>
      </c>
      <c r="BG12" s="4">
        <f t="shared" si="11"/>
        <v>0</v>
      </c>
      <c r="BH12" s="4"/>
      <c r="BI12" s="4" t="s">
        <v>41</v>
      </c>
      <c r="BJ12" s="3">
        <v>0.140350877192982</v>
      </c>
      <c r="BK12" s="3">
        <v>0.35043832202523101</v>
      </c>
      <c r="BL12" s="3">
        <f t="shared" si="12"/>
        <v>0</v>
      </c>
      <c r="BM12" s="3"/>
      <c r="BN12" s="3" t="s">
        <v>43</v>
      </c>
      <c r="BO12" s="2" t="s">
        <v>44</v>
      </c>
    </row>
    <row r="13" spans="1:67" ht="42.85" customHeight="1" x14ac:dyDescent="0.45">
      <c r="A13" s="6">
        <v>12</v>
      </c>
      <c r="B13" s="6">
        <v>1.80315511532759</v>
      </c>
      <c r="C13" s="6">
        <v>0.66773091378060501</v>
      </c>
      <c r="D13" s="6">
        <f t="shared" si="0"/>
        <v>1</v>
      </c>
      <c r="E13" s="6" t="s">
        <v>48</v>
      </c>
      <c r="F13" s="6" t="s">
        <v>43</v>
      </c>
      <c r="G13" s="6">
        <v>0.816101403137931</v>
      </c>
      <c r="H13" s="6">
        <v>0.50798238276101104</v>
      </c>
      <c r="I13" s="6">
        <f t="shared" si="1"/>
        <v>1</v>
      </c>
      <c r="J13" s="6" t="s">
        <v>49</v>
      </c>
      <c r="K13" s="6" t="s">
        <v>41</v>
      </c>
      <c r="L13" s="6">
        <v>-0.90945623767241301</v>
      </c>
      <c r="M13" s="6">
        <v>0.62595326848658195</v>
      </c>
      <c r="N13" s="6">
        <f t="shared" si="2"/>
        <v>0</v>
      </c>
      <c r="O13" s="6"/>
      <c r="P13" s="6" t="s">
        <v>42</v>
      </c>
      <c r="Q13" s="6">
        <v>-0.22766418517241399</v>
      </c>
      <c r="R13" s="6">
        <v>0.14920700293203301</v>
      </c>
      <c r="S13" s="6">
        <f t="shared" si="3"/>
        <v>0</v>
      </c>
      <c r="T13" s="6"/>
      <c r="U13" s="6" t="s">
        <v>41</v>
      </c>
      <c r="V13" s="6">
        <v>9.8461609362069005E-2</v>
      </c>
      <c r="W13" s="6">
        <v>0.65685024099731903</v>
      </c>
      <c r="X13" s="6">
        <f t="shared" si="4"/>
        <v>0</v>
      </c>
      <c r="Y13" s="6"/>
      <c r="Z13" s="6" t="s">
        <v>41</v>
      </c>
      <c r="AA13" s="6">
        <v>-3.3481931551724103E-2</v>
      </c>
      <c r="AB13" s="6">
        <v>0.58836895301048597</v>
      </c>
      <c r="AC13" s="6">
        <f t="shared" si="5"/>
        <v>0</v>
      </c>
      <c r="AD13" s="6"/>
      <c r="AE13" s="6" t="s">
        <v>43</v>
      </c>
      <c r="AF13" s="6">
        <v>-0.37266265844827601</v>
      </c>
      <c r="AG13" s="6">
        <v>0.233411353177333</v>
      </c>
      <c r="AH13" s="6">
        <f t="shared" si="6"/>
        <v>0</v>
      </c>
      <c r="AI13" s="6"/>
      <c r="AJ13" s="6" t="s">
        <v>42</v>
      </c>
      <c r="AK13" s="6">
        <v>0.58349941829310403</v>
      </c>
      <c r="AL13" s="6">
        <v>0.52710265806994905</v>
      </c>
      <c r="AM13" s="6">
        <f t="shared" si="7"/>
        <v>1</v>
      </c>
      <c r="AN13" s="6" t="s">
        <v>55</v>
      </c>
      <c r="AO13" s="6" t="s">
        <v>41</v>
      </c>
      <c r="AP13" s="6">
        <v>0.13793103448275901</v>
      </c>
      <c r="AQ13" s="6">
        <v>0.34783923802698202</v>
      </c>
      <c r="AR13" s="6">
        <f t="shared" si="8"/>
        <v>0</v>
      </c>
      <c r="AS13" s="6"/>
      <c r="AT13" s="6" t="s">
        <v>43</v>
      </c>
      <c r="AU13" s="6">
        <v>8.6206896551724102E-2</v>
      </c>
      <c r="AV13" s="6">
        <v>0.283120627606264</v>
      </c>
      <c r="AW13" s="6">
        <f t="shared" si="9"/>
        <v>0</v>
      </c>
      <c r="AX13" s="6"/>
      <c r="AY13" s="6" t="s">
        <v>41</v>
      </c>
      <c r="AZ13" s="6">
        <v>8.6206896551724102E-2</v>
      </c>
      <c r="BA13" s="6">
        <v>0.283120627606264</v>
      </c>
      <c r="BB13" s="6">
        <f t="shared" si="10"/>
        <v>0</v>
      </c>
      <c r="BC13" s="6"/>
      <c r="BD13" s="6" t="s">
        <v>43</v>
      </c>
      <c r="BE13" s="6">
        <v>0</v>
      </c>
      <c r="BF13" s="6">
        <v>0</v>
      </c>
      <c r="BG13" s="6">
        <f t="shared" si="11"/>
        <v>0</v>
      </c>
      <c r="BH13" s="6"/>
      <c r="BI13" s="6" t="s">
        <v>41</v>
      </c>
      <c r="BJ13" s="6">
        <v>3.4482758620689703E-2</v>
      </c>
      <c r="BK13" s="6">
        <v>0.184059224009919</v>
      </c>
      <c r="BL13" s="6">
        <f t="shared" si="12"/>
        <v>0</v>
      </c>
      <c r="BM13" s="6"/>
      <c r="BN13" s="6" t="s">
        <v>43</v>
      </c>
      <c r="BO13" s="6" t="s">
        <v>44</v>
      </c>
    </row>
    <row r="14" spans="1:67" ht="42.85" customHeight="1" x14ac:dyDescent="0.45">
      <c r="A14" s="2">
        <v>13</v>
      </c>
      <c r="B14" s="3">
        <v>-0.47123173674000002</v>
      </c>
      <c r="C14" s="3">
        <v>0.38560255391680598</v>
      </c>
      <c r="D14" s="3">
        <f t="shared" si="0"/>
        <v>0</v>
      </c>
      <c r="E14" s="3"/>
      <c r="F14" s="3" t="s">
        <v>42</v>
      </c>
      <c r="G14" s="4">
        <v>-0.91428553071999996</v>
      </c>
      <c r="H14" s="4">
        <v>0.222620925048859</v>
      </c>
      <c r="I14" s="4">
        <f t="shared" si="1"/>
        <v>0</v>
      </c>
      <c r="J14" s="4"/>
      <c r="K14" s="4" t="s">
        <v>42</v>
      </c>
      <c r="L14" s="3">
        <v>0.78839574558000003</v>
      </c>
      <c r="M14" s="3">
        <v>0.40093740457826299</v>
      </c>
      <c r="N14" s="3">
        <f t="shared" si="2"/>
        <v>1</v>
      </c>
      <c r="O14" s="3" t="s">
        <v>50</v>
      </c>
      <c r="P14" s="3" t="s">
        <v>41</v>
      </c>
      <c r="Q14" s="4">
        <v>0.77313958553999995</v>
      </c>
      <c r="R14" s="4">
        <v>0.80890701009861399</v>
      </c>
      <c r="S14" s="4">
        <f t="shared" si="3"/>
        <v>1</v>
      </c>
      <c r="T14" s="4" t="s">
        <v>51</v>
      </c>
      <c r="U14" s="4" t="s">
        <v>43</v>
      </c>
      <c r="V14" s="3">
        <v>-0.39388788876000003</v>
      </c>
      <c r="W14" s="3">
        <v>0.249485849511768</v>
      </c>
      <c r="X14" s="3">
        <f t="shared" si="4"/>
        <v>0</v>
      </c>
      <c r="Y14" s="3"/>
      <c r="Z14" s="3" t="s">
        <v>42</v>
      </c>
      <c r="AA14" s="4">
        <v>-0.26829944459999999</v>
      </c>
      <c r="AB14" s="4">
        <v>0.201433458756413</v>
      </c>
      <c r="AC14" s="4">
        <f t="shared" si="5"/>
        <v>0</v>
      </c>
      <c r="AD14" s="4"/>
      <c r="AE14" s="4" t="s">
        <v>41</v>
      </c>
      <c r="AF14" s="3">
        <v>-0.80415095033999995</v>
      </c>
      <c r="AG14" s="3">
        <v>0.202654127696691</v>
      </c>
      <c r="AH14" s="3">
        <f t="shared" si="6"/>
        <v>0</v>
      </c>
      <c r="AI14" s="3"/>
      <c r="AJ14" s="3" t="s">
        <v>42</v>
      </c>
      <c r="AK14" s="4">
        <v>-0.80264209257999997</v>
      </c>
      <c r="AL14" s="4">
        <v>0.101922928477457</v>
      </c>
      <c r="AM14" s="4">
        <f t="shared" si="7"/>
        <v>0</v>
      </c>
      <c r="AN14" s="4"/>
      <c r="AO14" s="4" t="s">
        <v>42</v>
      </c>
      <c r="AP14" s="3">
        <v>0.04</v>
      </c>
      <c r="AQ14" s="3">
        <v>0.197948663722157</v>
      </c>
      <c r="AR14" s="3">
        <f t="shared" si="8"/>
        <v>0</v>
      </c>
      <c r="AS14" s="3"/>
      <c r="AT14" s="3" t="s">
        <v>43</v>
      </c>
      <c r="AU14" s="4">
        <v>0.76</v>
      </c>
      <c r="AV14" s="4">
        <v>0.43141911058690002</v>
      </c>
      <c r="AW14" s="4">
        <f t="shared" si="9"/>
        <v>1</v>
      </c>
      <c r="AX14" s="4" t="s">
        <v>58</v>
      </c>
      <c r="AY14" s="4" t="s">
        <v>41</v>
      </c>
      <c r="AZ14" s="3">
        <v>0.02</v>
      </c>
      <c r="BA14" s="3">
        <v>0.14142135623731</v>
      </c>
      <c r="BB14" s="3">
        <f t="shared" si="10"/>
        <v>0</v>
      </c>
      <c r="BC14" s="3"/>
      <c r="BD14" s="3" t="s">
        <v>43</v>
      </c>
      <c r="BE14" s="4">
        <v>0</v>
      </c>
      <c r="BF14" s="4">
        <v>0</v>
      </c>
      <c r="BG14" s="4">
        <f t="shared" si="11"/>
        <v>0</v>
      </c>
      <c r="BH14" s="4"/>
      <c r="BI14" s="4" t="s">
        <v>41</v>
      </c>
      <c r="BJ14" s="3">
        <v>0.34</v>
      </c>
      <c r="BK14" s="3">
        <v>0.47851812069840599</v>
      </c>
      <c r="BL14" s="3">
        <f t="shared" si="12"/>
        <v>1</v>
      </c>
      <c r="BM14" s="3" t="s">
        <v>61</v>
      </c>
      <c r="BN14" s="3" t="s">
        <v>43</v>
      </c>
      <c r="BO14" s="2" t="s">
        <v>45</v>
      </c>
    </row>
    <row r="15" spans="1:67" ht="42.85" customHeight="1" x14ac:dyDescent="0.45">
      <c r="A15" s="2">
        <v>14</v>
      </c>
      <c r="B15" s="3">
        <v>-0.105913578674074</v>
      </c>
      <c r="C15" s="3">
        <v>0.39937690881486998</v>
      </c>
      <c r="D15" s="3">
        <f t="shared" si="0"/>
        <v>0</v>
      </c>
      <c r="E15" s="3"/>
      <c r="F15" s="3" t="s">
        <v>41</v>
      </c>
      <c r="G15" s="4">
        <v>1.1905979611703701</v>
      </c>
      <c r="H15" s="4">
        <v>0.36038089147167601</v>
      </c>
      <c r="I15" s="4">
        <f t="shared" si="1"/>
        <v>1</v>
      </c>
      <c r="J15" s="4" t="s">
        <v>49</v>
      </c>
      <c r="K15" s="4" t="s">
        <v>43</v>
      </c>
      <c r="L15" s="3">
        <v>-0.34135135862963001</v>
      </c>
      <c r="M15" s="3">
        <v>0.43249277531743202</v>
      </c>
      <c r="N15" s="3">
        <f t="shared" si="2"/>
        <v>0</v>
      </c>
      <c r="O15" s="3"/>
      <c r="P15" s="3" t="s">
        <v>42</v>
      </c>
      <c r="Q15" s="4">
        <v>-0.26416473267407398</v>
      </c>
      <c r="R15" s="4">
        <v>9.7833890605547397E-2</v>
      </c>
      <c r="S15" s="4">
        <f t="shared" si="3"/>
        <v>0</v>
      </c>
      <c r="T15" s="4"/>
      <c r="U15" s="4" t="s">
        <v>42</v>
      </c>
      <c r="V15" s="3">
        <v>0.188504154866667</v>
      </c>
      <c r="W15" s="3">
        <v>0.596901117159373</v>
      </c>
      <c r="X15" s="3">
        <f t="shared" si="4"/>
        <v>0</v>
      </c>
      <c r="Y15" s="3"/>
      <c r="Z15" s="3" t="s">
        <v>41</v>
      </c>
      <c r="AA15" s="4">
        <v>-0.18707412407407401</v>
      </c>
      <c r="AB15" s="4">
        <v>0.36289377606767498</v>
      </c>
      <c r="AC15" s="4">
        <f t="shared" si="5"/>
        <v>0</v>
      </c>
      <c r="AD15" s="4"/>
      <c r="AE15" s="4" t="s">
        <v>41</v>
      </c>
      <c r="AF15" s="3">
        <v>2.6187909859259201E-2</v>
      </c>
      <c r="AG15" s="3">
        <v>0.243756127810629</v>
      </c>
      <c r="AH15" s="3">
        <f t="shared" si="6"/>
        <v>0</v>
      </c>
      <c r="AI15" s="3"/>
      <c r="AJ15" s="3" t="s">
        <v>41</v>
      </c>
      <c r="AK15" s="4">
        <v>1.0673173174888899</v>
      </c>
      <c r="AL15" s="4">
        <v>0.45944045093088598</v>
      </c>
      <c r="AM15" s="4">
        <f t="shared" si="7"/>
        <v>1</v>
      </c>
      <c r="AN15" s="4" t="s">
        <v>55</v>
      </c>
      <c r="AO15" s="4" t="s">
        <v>43</v>
      </c>
      <c r="AP15" s="3">
        <v>0.80740740740740702</v>
      </c>
      <c r="AQ15" s="3">
        <v>0.39580441982207698</v>
      </c>
      <c r="AR15" s="3">
        <f t="shared" si="8"/>
        <v>1</v>
      </c>
      <c r="AS15" s="3" t="s">
        <v>57</v>
      </c>
      <c r="AT15" s="3" t="s">
        <v>43</v>
      </c>
      <c r="AU15" s="4">
        <v>0.51851851851851805</v>
      </c>
      <c r="AV15" s="4">
        <v>0.50151787295500405</v>
      </c>
      <c r="AW15" s="4">
        <f t="shared" si="9"/>
        <v>1</v>
      </c>
      <c r="AX15" s="4" t="s">
        <v>58</v>
      </c>
      <c r="AY15" s="4" t="s">
        <v>41</v>
      </c>
      <c r="AZ15" s="3">
        <v>8.1481481481481502E-2</v>
      </c>
      <c r="BA15" s="3">
        <v>0.274592013555086</v>
      </c>
      <c r="BB15" s="3">
        <f t="shared" si="10"/>
        <v>0</v>
      </c>
      <c r="BC15" s="3"/>
      <c r="BD15" s="3" t="s">
        <v>43</v>
      </c>
      <c r="BE15" s="4">
        <v>0</v>
      </c>
      <c r="BF15" s="4">
        <v>0</v>
      </c>
      <c r="BG15" s="4">
        <f t="shared" si="11"/>
        <v>0</v>
      </c>
      <c r="BH15" s="4"/>
      <c r="BI15" s="4" t="s">
        <v>41</v>
      </c>
      <c r="BJ15" s="3">
        <v>1.48148148148148E-2</v>
      </c>
      <c r="BK15" s="3">
        <v>0.12126110875009</v>
      </c>
      <c r="BL15" s="3">
        <f t="shared" si="12"/>
        <v>0</v>
      </c>
      <c r="BM15" s="3"/>
      <c r="BN15" s="3" t="s">
        <v>43</v>
      </c>
      <c r="BO15" s="2" t="s">
        <v>44</v>
      </c>
    </row>
    <row r="16" spans="1:67" ht="42.85" customHeight="1" x14ac:dyDescent="0.45">
      <c r="A16" s="2">
        <v>15</v>
      </c>
      <c r="B16" s="3">
        <v>-0.40537462388095202</v>
      </c>
      <c r="C16" s="3">
        <v>0.29544814191205299</v>
      </c>
      <c r="D16" s="3">
        <f t="shared" si="0"/>
        <v>0</v>
      </c>
      <c r="E16" s="3"/>
      <c r="F16" s="3" t="s">
        <v>42</v>
      </c>
      <c r="G16" s="4">
        <v>-8.8133153952380999E-2</v>
      </c>
      <c r="H16" s="4">
        <v>0.234800041279391</v>
      </c>
      <c r="I16" s="4">
        <f t="shared" si="1"/>
        <v>0</v>
      </c>
      <c r="J16" s="4"/>
      <c r="K16" s="4" t="s">
        <v>42</v>
      </c>
      <c r="L16" s="3">
        <v>0.90654780440476201</v>
      </c>
      <c r="M16" s="3">
        <v>0.18102669028922599</v>
      </c>
      <c r="N16" s="3">
        <f t="shared" si="2"/>
        <v>1</v>
      </c>
      <c r="O16" s="3" t="s">
        <v>50</v>
      </c>
      <c r="P16" s="3" t="s">
        <v>43</v>
      </c>
      <c r="Q16" s="4">
        <v>-0.103377658333333</v>
      </c>
      <c r="R16" s="4">
        <v>8.7772094339206394E-2</v>
      </c>
      <c r="S16" s="4">
        <f t="shared" si="3"/>
        <v>0</v>
      </c>
      <c r="T16" s="4"/>
      <c r="U16" s="4" t="s">
        <v>41</v>
      </c>
      <c r="V16" s="3">
        <v>-0.27040667754761899</v>
      </c>
      <c r="W16" s="3">
        <v>0.32138518241124098</v>
      </c>
      <c r="X16" s="3">
        <f t="shared" si="4"/>
        <v>0</v>
      </c>
      <c r="Y16" s="3"/>
      <c r="Z16" s="3" t="s">
        <v>41</v>
      </c>
      <c r="AA16" s="4">
        <v>0.28728683873809502</v>
      </c>
      <c r="AB16" s="4">
        <v>0.68027230260444904</v>
      </c>
      <c r="AC16" s="4">
        <f t="shared" si="5"/>
        <v>0</v>
      </c>
      <c r="AD16" s="4"/>
      <c r="AE16" s="4" t="s">
        <v>43</v>
      </c>
      <c r="AF16" s="3">
        <v>2.5635102380952399E-3</v>
      </c>
      <c r="AG16" s="3">
        <v>0.250849144718993</v>
      </c>
      <c r="AH16" s="3">
        <f t="shared" si="6"/>
        <v>0</v>
      </c>
      <c r="AI16" s="3"/>
      <c r="AJ16" s="3" t="s">
        <v>41</v>
      </c>
      <c r="AK16" s="4">
        <v>-0.27562791347618998</v>
      </c>
      <c r="AL16" s="4">
        <v>0.24169976257411599</v>
      </c>
      <c r="AM16" s="4">
        <f t="shared" si="7"/>
        <v>0</v>
      </c>
      <c r="AN16" s="4"/>
      <c r="AO16" s="4" t="s">
        <v>42</v>
      </c>
      <c r="AP16" s="3">
        <v>2.3809523809523801E-2</v>
      </c>
      <c r="AQ16" s="3">
        <v>0.154303349962092</v>
      </c>
      <c r="AR16" s="3">
        <f t="shared" si="8"/>
        <v>0</v>
      </c>
      <c r="AS16" s="3"/>
      <c r="AT16" s="3" t="s">
        <v>43</v>
      </c>
      <c r="AU16" s="4">
        <v>0.73809523809523803</v>
      </c>
      <c r="AV16" s="4">
        <v>0.44500061986932998</v>
      </c>
      <c r="AW16" s="4">
        <f t="shared" si="9"/>
        <v>1</v>
      </c>
      <c r="AX16" s="4" t="s">
        <v>58</v>
      </c>
      <c r="AY16" s="4" t="s">
        <v>41</v>
      </c>
      <c r="AZ16" s="3">
        <v>0.38095238095238099</v>
      </c>
      <c r="BA16" s="3">
        <v>0.49150743499232002</v>
      </c>
      <c r="BB16" s="3">
        <f t="shared" si="10"/>
        <v>1</v>
      </c>
      <c r="BC16" s="3" t="s">
        <v>59</v>
      </c>
      <c r="BD16" s="3" t="s">
        <v>43</v>
      </c>
      <c r="BE16" s="4">
        <v>0</v>
      </c>
      <c r="BF16" s="4">
        <v>0</v>
      </c>
      <c r="BG16" s="4">
        <f t="shared" si="11"/>
        <v>0</v>
      </c>
      <c r="BH16" s="4"/>
      <c r="BI16" s="4" t="s">
        <v>41</v>
      </c>
      <c r="BJ16" s="3">
        <v>2.3809523809523801E-2</v>
      </c>
      <c r="BK16" s="3">
        <v>0.154303349962092</v>
      </c>
      <c r="BL16" s="3">
        <f t="shared" si="12"/>
        <v>0</v>
      </c>
      <c r="BM16" s="3"/>
      <c r="BN16" s="3" t="s">
        <v>43</v>
      </c>
      <c r="BO16" s="2" t="s">
        <v>44</v>
      </c>
    </row>
    <row r="17" spans="1:67" ht="42.85" customHeight="1" x14ac:dyDescent="0.45">
      <c r="A17" s="2">
        <v>16</v>
      </c>
      <c r="B17" s="3">
        <v>-0.52694183883333301</v>
      </c>
      <c r="C17" s="3">
        <v>0.16979917813807199</v>
      </c>
      <c r="D17" s="3">
        <f t="shared" si="0"/>
        <v>0</v>
      </c>
      <c r="E17" s="3"/>
      <c r="F17" s="3" t="s">
        <v>42</v>
      </c>
      <c r="G17" s="4">
        <v>-0.832474193190476</v>
      </c>
      <c r="H17" s="4">
        <v>0.158150275133044</v>
      </c>
      <c r="I17" s="4">
        <f t="shared" si="1"/>
        <v>0</v>
      </c>
      <c r="J17" s="4"/>
      <c r="K17" s="4" t="s">
        <v>42</v>
      </c>
      <c r="L17" s="3">
        <v>1.1001933232381</v>
      </c>
      <c r="M17" s="3">
        <v>0.225339825457262</v>
      </c>
      <c r="N17" s="3">
        <f t="shared" si="2"/>
        <v>1</v>
      </c>
      <c r="O17" s="3" t="s">
        <v>50</v>
      </c>
      <c r="P17" s="3" t="s">
        <v>43</v>
      </c>
      <c r="Q17" s="4">
        <v>-0.15112859454761901</v>
      </c>
      <c r="R17" s="4">
        <v>0.125303576564914</v>
      </c>
      <c r="S17" s="4">
        <f t="shared" si="3"/>
        <v>0</v>
      </c>
      <c r="T17" s="4"/>
      <c r="U17" s="4" t="s">
        <v>41</v>
      </c>
      <c r="V17" s="3">
        <v>4.6809547904761897E-2</v>
      </c>
      <c r="W17" s="3">
        <v>0.48749053699080802</v>
      </c>
      <c r="X17" s="3">
        <f t="shared" si="4"/>
        <v>0</v>
      </c>
      <c r="Y17" s="3"/>
      <c r="Z17" s="3" t="s">
        <v>41</v>
      </c>
      <c r="AA17" s="4">
        <v>-0.223820090333333</v>
      </c>
      <c r="AB17" s="4">
        <v>0.29226475800270202</v>
      </c>
      <c r="AC17" s="4">
        <f t="shared" si="5"/>
        <v>0</v>
      </c>
      <c r="AD17" s="4"/>
      <c r="AE17" s="4" t="s">
        <v>41</v>
      </c>
      <c r="AF17" s="3">
        <v>0.784807167333333</v>
      </c>
      <c r="AG17" s="3">
        <v>0.32859311984382</v>
      </c>
      <c r="AH17" s="3">
        <f t="shared" si="6"/>
        <v>1</v>
      </c>
      <c r="AI17" s="3" t="s">
        <v>54</v>
      </c>
      <c r="AJ17" s="3" t="s">
        <v>43</v>
      </c>
      <c r="AK17" s="4">
        <v>-0.27694524102381002</v>
      </c>
      <c r="AL17" s="4">
        <v>0.220894922479281</v>
      </c>
      <c r="AM17" s="4">
        <f t="shared" si="7"/>
        <v>0</v>
      </c>
      <c r="AN17" s="4"/>
      <c r="AO17" s="4" t="s">
        <v>42</v>
      </c>
      <c r="AP17" s="3">
        <v>4.7619047619047603E-2</v>
      </c>
      <c r="AQ17" s="3">
        <v>0.215540268704521</v>
      </c>
      <c r="AR17" s="3">
        <f t="shared" si="8"/>
        <v>0</v>
      </c>
      <c r="AS17" s="3"/>
      <c r="AT17" s="3" t="s">
        <v>43</v>
      </c>
      <c r="AU17" s="4">
        <v>0.952380952380952</v>
      </c>
      <c r="AV17" s="4">
        <v>0.215540268704521</v>
      </c>
      <c r="AW17" s="4">
        <f t="shared" si="9"/>
        <v>1</v>
      </c>
      <c r="AX17" s="4"/>
      <c r="AY17" s="4" t="s">
        <v>41</v>
      </c>
      <c r="AZ17" s="3">
        <v>0</v>
      </c>
      <c r="BA17" s="3">
        <v>0</v>
      </c>
      <c r="BB17" s="3">
        <f t="shared" si="10"/>
        <v>0</v>
      </c>
      <c r="BC17" s="3"/>
      <c r="BD17" s="3" t="s">
        <v>41</v>
      </c>
      <c r="BE17" s="4">
        <v>0</v>
      </c>
      <c r="BF17" s="4">
        <v>0</v>
      </c>
      <c r="BG17" s="4">
        <f t="shared" si="11"/>
        <v>0</v>
      </c>
      <c r="BH17" s="4"/>
      <c r="BI17" s="4" t="s">
        <v>41</v>
      </c>
      <c r="BJ17" s="3">
        <v>0.214285714285714</v>
      </c>
      <c r="BK17" s="3">
        <v>0.41529973223663302</v>
      </c>
      <c r="BL17" s="3">
        <f t="shared" si="12"/>
        <v>0</v>
      </c>
      <c r="BM17" s="3"/>
      <c r="BN17" s="3" t="s">
        <v>43</v>
      </c>
      <c r="BO17" s="2" t="s">
        <v>44</v>
      </c>
    </row>
    <row r="18" spans="1:67" ht="42.85" customHeight="1" x14ac:dyDescent="0.45">
      <c r="A18" s="2"/>
      <c r="B18" s="5">
        <f>AVERAGE(B2:B17)</f>
        <v>0.1626236279195663</v>
      </c>
      <c r="C18" s="5">
        <f>SQRT(SUMSQ(C2:C17) )/ COUNT(C2:C17)</f>
        <v>0.14569960513429928</v>
      </c>
      <c r="D18" s="2"/>
      <c r="E18" s="2"/>
      <c r="F18" s="2"/>
      <c r="G18" s="5">
        <f>AVERAGE(G2:G17)</f>
        <v>-7.4157582186260007E-2</v>
      </c>
      <c r="H18" s="5">
        <f>SQRT(SUMSQ(H2:H17) )/ COUNT(H2:H17)</f>
        <v>0.10928056923544549</v>
      </c>
      <c r="I18" s="2"/>
      <c r="J18" s="2"/>
      <c r="K18" s="2"/>
      <c r="L18" s="5">
        <f>AVERAGE(L2:L17)</f>
        <v>0.2135420088699867</v>
      </c>
      <c r="M18" s="5">
        <f>SQRT(SUMSQ(M2:M17) )/ COUNT(M2:M17)</f>
        <v>0.10743059256566467</v>
      </c>
      <c r="N18" s="2"/>
      <c r="O18" s="2"/>
      <c r="P18" s="2"/>
      <c r="Q18" s="5">
        <f>AVERAGE(Q2:Q17)</f>
        <v>0.46370571636745511</v>
      </c>
      <c r="R18" s="5">
        <f>SQRT(SUMSQ(R2:R17) )/ COUNT(R2:R17)</f>
        <v>7.7308737460730817E-2</v>
      </c>
      <c r="S18" s="2"/>
      <c r="T18" s="2"/>
      <c r="U18" s="2"/>
      <c r="V18" s="5">
        <f>AVERAGE(V2:V17)</f>
        <v>0.25572540629884866</v>
      </c>
      <c r="W18" s="5">
        <f>SQRT(SUMSQ(W2:W17) )/ COUNT(W2:W17)</f>
        <v>0.16426366876717607</v>
      </c>
      <c r="X18" s="2"/>
      <c r="Y18" s="2"/>
      <c r="Z18" s="2"/>
      <c r="AA18" s="5">
        <f>AVERAGE(AA2:AA17)</f>
        <v>0.51945328719500639</v>
      </c>
      <c r="AB18" s="5">
        <f>SQRT(SUMSQ(AB2:AB17) )/ COUNT(AB2:AB17)</f>
        <v>0.17861273235679703</v>
      </c>
      <c r="AC18" s="2"/>
      <c r="AD18" s="2"/>
      <c r="AE18" s="2"/>
      <c r="AF18" s="5">
        <f>AVERAGE(AF2:AF17)</f>
        <v>6.6021326134083486E-3</v>
      </c>
      <c r="AG18" s="5">
        <f>SQRT(SUMSQ(AG2:AG17) )/ COUNT(AG2:AG17)</f>
        <v>9.835200856670552E-2</v>
      </c>
      <c r="AH18" s="2"/>
      <c r="AI18" s="2"/>
      <c r="AJ18" s="2"/>
      <c r="AK18" s="5">
        <f>AVERAGE(AK2:AK17)</f>
        <v>-6.5957791731514587E-2</v>
      </c>
      <c r="AL18" s="5">
        <f>SQRT(SUMSQ(AL2:AL17) )/ COUNT(AL2:AL17)</f>
        <v>9.753491502342225E-2</v>
      </c>
      <c r="AM18" s="2"/>
      <c r="AN18" s="2"/>
      <c r="AO18" s="2"/>
      <c r="AP18" s="5">
        <f>AVERAGE(AP2:AP17)</f>
        <v>0.12981244360115521</v>
      </c>
      <c r="AQ18" s="5">
        <f>SQRT(SUMSQ(AQ2:AQ17) )/ COUNT(AQ2:AQ17)</f>
        <v>6.9062839774090945E-2</v>
      </c>
      <c r="AR18" s="2"/>
      <c r="AS18" s="2"/>
      <c r="AT18" s="2"/>
      <c r="AU18" s="5">
        <f>AVERAGE(AU2:AU17)</f>
        <v>0.33659094005391932</v>
      </c>
      <c r="AV18" s="5">
        <f>SQRT(SUMSQ(AV2:AV17) )/ COUNT(AV2:AV17)</f>
        <v>8.0046517616430779E-2</v>
      </c>
      <c r="AW18" s="2"/>
      <c r="AX18" s="2"/>
      <c r="AY18" s="2"/>
      <c r="AZ18" s="5">
        <f>AVERAGE(AZ2:AZ17)</f>
        <v>0.139125743146881</v>
      </c>
      <c r="BA18" s="5">
        <f>SQRT(SUMSQ(BA2:BA17) )/ COUNT(BA2:BA17)</f>
        <v>7.6243092297060791E-2</v>
      </c>
      <c r="BB18" s="2"/>
      <c r="BC18" s="2"/>
      <c r="BD18" s="2"/>
      <c r="BE18" s="5">
        <f>AVERAGE(BE2:BE17)</f>
        <v>3.6231884057971002E-3</v>
      </c>
      <c r="BF18" s="5">
        <f>SQRT(SUMSQ(BF2:BF17) )/ COUNT(BF2:BF17)</f>
        <v>1.4712541118214687E-2</v>
      </c>
      <c r="BG18" s="2"/>
      <c r="BH18" s="2"/>
      <c r="BI18" s="2"/>
      <c r="BJ18" s="5">
        <f>AVERAGE(BJ2:BJ17)</f>
        <v>0.20111434136750403</v>
      </c>
      <c r="BK18" s="5">
        <f>SQRT(SUMSQ(BK2:BK17) )/ COUNT(BK2:BK17)</f>
        <v>8.5097586810931783E-2</v>
      </c>
      <c r="BL18" s="2"/>
      <c r="BM18" s="2"/>
      <c r="BN18" s="2"/>
      <c r="BO18" s="2"/>
    </row>
    <row r="19" spans="1:67" ht="42.85" customHeight="1" x14ac:dyDescent="0.45">
      <c r="C19" s="1">
        <f>SUM(B18:C18)</f>
        <v>0.30832323305386555</v>
      </c>
      <c r="H19" s="1">
        <f>SUM(G18:H18)</f>
        <v>3.5122987049185483E-2</v>
      </c>
      <c r="M19" s="1">
        <f>SUM(L18:M18)</f>
        <v>0.32097260143565137</v>
      </c>
      <c r="R19" s="1">
        <f>SUM(Q18:R18)</f>
        <v>0.54101445382818592</v>
      </c>
      <c r="W19" s="1">
        <f>SUM(V18:W18)</f>
        <v>0.41998907506602473</v>
      </c>
      <c r="AB19" s="1">
        <f>SUM(AA18:AB18)</f>
        <v>0.69806601955180336</v>
      </c>
      <c r="AG19" s="1">
        <f>SUM(AF18:AG18)</f>
        <v>0.10495414118011387</v>
      </c>
      <c r="AL19" s="1">
        <f>SUM(AK18:AL18)</f>
        <v>3.1577123291907663E-2</v>
      </c>
      <c r="AQ19" s="1">
        <f>SUM(AP18:AQ18)</f>
        <v>0.19887528337524615</v>
      </c>
      <c r="AV19" s="1">
        <f>SUM(AU18:AV18)</f>
        <v>0.4166374576703501</v>
      </c>
      <c r="BA19" s="1">
        <f>SUM(AZ18:BA18)</f>
        <v>0.21536883544394181</v>
      </c>
      <c r="BF19" s="1">
        <f>SUM(BE18:BF18)</f>
        <v>1.8335729524011787E-2</v>
      </c>
      <c r="BK19" s="1">
        <f>SUM(BJ18:BK18)</f>
        <v>0.28621192817843583</v>
      </c>
    </row>
    <row r="21" spans="1:67" ht="42.85" customHeight="1" x14ac:dyDescent="0.45">
      <c r="A21" s="8" t="s">
        <v>0</v>
      </c>
      <c r="B21" s="7" t="s">
        <v>48</v>
      </c>
      <c r="C21" s="7" t="s">
        <v>49</v>
      </c>
      <c r="D21" s="7" t="s">
        <v>50</v>
      </c>
      <c r="E21" s="7" t="s">
        <v>51</v>
      </c>
      <c r="F21" s="7" t="s">
        <v>52</v>
      </c>
      <c r="G21" s="7" t="s">
        <v>53</v>
      </c>
      <c r="H21" s="7" t="s">
        <v>54</v>
      </c>
      <c r="I21" s="7" t="s">
        <v>55</v>
      </c>
      <c r="J21" s="7" t="s">
        <v>57</v>
      </c>
      <c r="K21" s="7" t="s">
        <v>58</v>
      </c>
      <c r="L21" s="7" t="s">
        <v>59</v>
      </c>
      <c r="M21" s="7" t="s">
        <v>62</v>
      </c>
      <c r="N21" s="7" t="s">
        <v>61</v>
      </c>
      <c r="P21" s="11" t="s">
        <v>63</v>
      </c>
    </row>
    <row r="22" spans="1:67" ht="42.85" customHeight="1" x14ac:dyDescent="0.45">
      <c r="A22" s="8">
        <v>4</v>
      </c>
      <c r="B22" s="10" t="s">
        <v>48</v>
      </c>
      <c r="C22" s="9" t="s">
        <v>42</v>
      </c>
      <c r="D22" s="9" t="s">
        <v>42</v>
      </c>
      <c r="E22" s="9" t="s">
        <v>41</v>
      </c>
      <c r="F22" s="9" t="s">
        <v>41</v>
      </c>
      <c r="G22" s="9" t="s">
        <v>43</v>
      </c>
      <c r="H22" s="9" t="s">
        <v>42</v>
      </c>
      <c r="I22" s="9" t="s">
        <v>42</v>
      </c>
      <c r="J22" s="9" t="s">
        <v>43</v>
      </c>
      <c r="K22" s="10" t="s">
        <v>58</v>
      </c>
      <c r="L22" s="9" t="s">
        <v>41</v>
      </c>
      <c r="M22" s="9" t="s">
        <v>41</v>
      </c>
      <c r="N22" s="9" t="s">
        <v>43</v>
      </c>
      <c r="O22" s="1">
        <v>2</v>
      </c>
      <c r="P22" s="1">
        <v>1</v>
      </c>
    </row>
    <row r="23" spans="1:67" ht="42.85" customHeight="1" x14ac:dyDescent="0.45">
      <c r="A23" s="8">
        <v>5</v>
      </c>
      <c r="B23" s="10" t="s">
        <v>48</v>
      </c>
      <c r="C23" s="9" t="s">
        <v>42</v>
      </c>
      <c r="D23" s="9" t="s">
        <v>42</v>
      </c>
      <c r="E23" s="9" t="s">
        <v>41</v>
      </c>
      <c r="F23" s="9" t="s">
        <v>41</v>
      </c>
      <c r="G23" s="9" t="s">
        <v>41</v>
      </c>
      <c r="H23" s="9" t="s">
        <v>42</v>
      </c>
      <c r="I23" s="9" t="s">
        <v>42</v>
      </c>
      <c r="J23" s="9" t="s">
        <v>43</v>
      </c>
      <c r="K23" s="10" t="s">
        <v>58</v>
      </c>
      <c r="L23" s="9" t="s">
        <v>43</v>
      </c>
      <c r="M23" s="9" t="s">
        <v>41</v>
      </c>
      <c r="N23" s="9" t="s">
        <v>43</v>
      </c>
      <c r="O23" s="1">
        <v>2</v>
      </c>
      <c r="P23" s="1">
        <v>1</v>
      </c>
    </row>
    <row r="24" spans="1:67" ht="42.85" customHeight="1" x14ac:dyDescent="0.45">
      <c r="A24" s="8">
        <v>9</v>
      </c>
      <c r="B24" s="10" t="s">
        <v>48</v>
      </c>
      <c r="C24" s="10" t="s">
        <v>49</v>
      </c>
      <c r="D24" s="9" t="s">
        <v>42</v>
      </c>
      <c r="E24" s="9" t="s">
        <v>42</v>
      </c>
      <c r="F24" s="9" t="s">
        <v>41</v>
      </c>
      <c r="G24" s="9" t="s">
        <v>41</v>
      </c>
      <c r="H24" s="9" t="s">
        <v>42</v>
      </c>
      <c r="I24" s="10" t="s">
        <v>55</v>
      </c>
      <c r="J24" s="10" t="s">
        <v>57</v>
      </c>
      <c r="K24" s="9" t="s">
        <v>41</v>
      </c>
      <c r="L24" s="9" t="s">
        <v>43</v>
      </c>
      <c r="M24" s="9" t="s">
        <v>41</v>
      </c>
      <c r="N24" s="9" t="s">
        <v>41</v>
      </c>
      <c r="O24" s="1">
        <v>4</v>
      </c>
      <c r="P24" s="1">
        <v>0.5</v>
      </c>
    </row>
    <row r="25" spans="1:67" ht="42.85" customHeight="1" x14ac:dyDescent="0.45">
      <c r="A25" s="8">
        <v>12</v>
      </c>
      <c r="B25" s="10" t="s">
        <v>48</v>
      </c>
      <c r="C25" s="10" t="s">
        <v>49</v>
      </c>
      <c r="D25" s="9" t="s">
        <v>42</v>
      </c>
      <c r="E25" s="9" t="s">
        <v>41</v>
      </c>
      <c r="F25" s="9" t="s">
        <v>41</v>
      </c>
      <c r="G25" s="9" t="s">
        <v>43</v>
      </c>
      <c r="H25" s="9" t="s">
        <v>42</v>
      </c>
      <c r="I25" s="10" t="s">
        <v>55</v>
      </c>
      <c r="J25" s="9" t="s">
        <v>43</v>
      </c>
      <c r="K25" s="9" t="s">
        <v>41</v>
      </c>
      <c r="L25" s="9" t="s">
        <v>43</v>
      </c>
      <c r="M25" s="9" t="s">
        <v>41</v>
      </c>
      <c r="N25" s="9" t="s">
        <v>43</v>
      </c>
      <c r="O25" s="1">
        <v>3</v>
      </c>
      <c r="P25" s="1">
        <v>0.5</v>
      </c>
    </row>
  </sheetData>
  <conditionalFormatting sqref="D2:D17">
    <cfRule type="colorScale" priority="56">
      <colorScale>
        <cfvo type="min"/>
        <cfvo type="max"/>
        <color rgb="FFFCFCFF"/>
        <color rgb="FFF8696B"/>
      </colorScale>
    </cfRule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17">
    <cfRule type="colorScale" priority="57">
      <colorScale>
        <cfvo type="min"/>
        <cfvo type="max"/>
        <color rgb="FFFCFCFF"/>
        <color rgb="FFF8696B"/>
      </colorScale>
    </cfRule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17">
    <cfRule type="colorScale" priority="58">
      <colorScale>
        <cfvo type="min"/>
        <cfvo type="max"/>
        <color rgb="FFFCFCFF"/>
        <color rgb="FFF8696B"/>
      </colorScale>
    </cfRule>
  </conditionalFormatting>
  <conditionalFormatting sqref="S2:S17">
    <cfRule type="colorScale" priority="55">
      <colorScale>
        <cfvo type="min"/>
        <cfvo type="max"/>
        <color rgb="FFFCFCFF"/>
        <color rgb="FFF8696B"/>
      </colorScale>
    </cfRule>
  </conditionalFormatting>
  <conditionalFormatting sqref="X2:X17">
    <cfRule type="colorScale" priority="54">
      <colorScale>
        <cfvo type="min"/>
        <cfvo type="max"/>
        <color rgb="FFFCFCFF"/>
        <color rgb="FFF8696B"/>
      </colorScale>
    </cfRule>
  </conditionalFormatting>
  <conditionalFormatting sqref="AC2:AC17">
    <cfRule type="colorScale" priority="53">
      <colorScale>
        <cfvo type="min"/>
        <cfvo type="max"/>
        <color rgb="FFFCFCFF"/>
        <color rgb="FFF8696B"/>
      </colorScale>
    </cfRule>
  </conditionalFormatting>
  <conditionalFormatting sqref="AH2:AH17">
    <cfRule type="colorScale" priority="52">
      <colorScale>
        <cfvo type="min"/>
        <cfvo type="max"/>
        <color rgb="FFFCFCFF"/>
        <color rgb="FFF8696B"/>
      </colorScale>
    </cfRule>
  </conditionalFormatting>
  <conditionalFormatting sqref="AM2:AM17">
    <cfRule type="colorScale" priority="51">
      <colorScale>
        <cfvo type="min"/>
        <cfvo type="max"/>
        <color rgb="FFFCFCFF"/>
        <color rgb="FFF8696B"/>
      </colorScale>
    </cfRule>
  </conditionalFormatting>
  <conditionalFormatting sqref="AR2:AR17">
    <cfRule type="colorScale" priority="50">
      <colorScale>
        <cfvo type="min"/>
        <cfvo type="max"/>
        <color rgb="FFFCFCFF"/>
        <color rgb="FFF8696B"/>
      </colorScale>
    </cfRule>
  </conditionalFormatting>
  <conditionalFormatting sqref="AW2:AW17">
    <cfRule type="colorScale" priority="49">
      <colorScale>
        <cfvo type="min"/>
        <cfvo type="max"/>
        <color rgb="FFFCFCFF"/>
        <color rgb="FFF8696B"/>
      </colorScale>
    </cfRule>
  </conditionalFormatting>
  <conditionalFormatting sqref="BB2:BB17">
    <cfRule type="colorScale" priority="48">
      <colorScale>
        <cfvo type="min"/>
        <cfvo type="max"/>
        <color rgb="FFFCFCFF"/>
        <color rgb="FFF8696B"/>
      </colorScale>
    </cfRule>
  </conditionalFormatting>
  <conditionalFormatting sqref="BG2:BG17">
    <cfRule type="colorScale" priority="47">
      <colorScale>
        <cfvo type="min"/>
        <cfvo type="max"/>
        <color rgb="FFFCFCFF"/>
        <color rgb="FFF8696B"/>
      </colorScale>
    </cfRule>
  </conditionalFormatting>
  <conditionalFormatting sqref="BL2:BL17">
    <cfRule type="colorScale" priority="46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all_centroidi_annotated_16_2020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Pavirani</cp:lastModifiedBy>
  <dcterms:created xsi:type="dcterms:W3CDTF">2025-11-21T13:19:22Z</dcterms:created>
  <dcterms:modified xsi:type="dcterms:W3CDTF">2025-11-25T12:57:38Z</dcterms:modified>
</cp:coreProperties>
</file>