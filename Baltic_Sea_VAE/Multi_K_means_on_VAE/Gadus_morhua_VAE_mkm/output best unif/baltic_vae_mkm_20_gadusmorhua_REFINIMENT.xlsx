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Baltico_VAE\Multi K-means del VAE\Cod VAE+mkm\output best unif\"/>
    </mc:Choice>
  </mc:AlternateContent>
  <xr:revisionPtr revIDLastSave="0" documentId="13_ncr:1_{9375402B-5EA0-449E-AEEC-C29C1F663C0D}" xr6:coauthVersionLast="47" xr6:coauthVersionMax="47" xr10:uidLastSave="{00000000-0000-0000-0000-000000000000}"/>
  <bookViews>
    <workbookView xWindow="-38510" yWindow="-2460" windowWidth="38620" windowHeight="21100" xr2:uid="{00000000-000D-0000-FFFF-FFFF00000000}"/>
  </bookViews>
  <sheets>
    <sheet name="all_centroidi_annotated_20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2" i="1" l="1"/>
  <c r="BJ22" i="1"/>
  <c r="BF22" i="1"/>
  <c r="BE22" i="1"/>
  <c r="BA22" i="1"/>
  <c r="AZ22" i="1"/>
  <c r="AV22" i="1"/>
  <c r="AU22" i="1"/>
  <c r="AQ22" i="1"/>
  <c r="AP22" i="1"/>
  <c r="AL22" i="1"/>
  <c r="AK22" i="1"/>
  <c r="AG22" i="1"/>
  <c r="AF22" i="1"/>
  <c r="AB22" i="1"/>
  <c r="AA22" i="1"/>
  <c r="W22" i="1"/>
  <c r="V22" i="1"/>
  <c r="R22" i="1"/>
  <c r="Q22" i="1"/>
  <c r="M22" i="1"/>
  <c r="L22" i="1"/>
  <c r="H22" i="1"/>
  <c r="G22" i="1"/>
  <c r="C22" i="1"/>
  <c r="B22" i="1"/>
  <c r="S4" i="1" l="1"/>
  <c r="AW4" i="1"/>
  <c r="X12" i="1"/>
  <c r="BB12" i="1"/>
  <c r="AH3" i="1"/>
  <c r="I12" i="1"/>
  <c r="AM12" i="1"/>
  <c r="X11" i="1"/>
  <c r="AH15" i="1"/>
  <c r="AH13" i="1"/>
  <c r="AR7" i="1"/>
  <c r="I19" i="1"/>
  <c r="I11" i="1"/>
  <c r="I10" i="1"/>
  <c r="AM21" i="1"/>
  <c r="I9" i="1"/>
  <c r="I8" i="1"/>
  <c r="AM9" i="1"/>
  <c r="BG5" i="1"/>
  <c r="I7" i="1"/>
  <c r="AM8" i="1"/>
  <c r="I2" i="1"/>
  <c r="I21" i="1"/>
  <c r="AH14" i="1"/>
  <c r="I20" i="1"/>
  <c r="N16" i="1"/>
  <c r="AM2" i="1"/>
  <c r="AM20" i="1"/>
  <c r="S19" i="1"/>
  <c r="AM7" i="1"/>
  <c r="D3" i="1"/>
  <c r="BL13" i="1"/>
  <c r="X21" i="1"/>
  <c r="AW10" i="1"/>
  <c r="AR5" i="1"/>
  <c r="N15" i="1"/>
  <c r="AR4" i="1"/>
  <c r="N14" i="1"/>
  <c r="S14" i="1"/>
  <c r="AR3" i="1"/>
  <c r="AW8" i="1"/>
  <c r="N13" i="1"/>
  <c r="S13" i="1"/>
  <c r="AR19" i="1"/>
  <c r="AW2" i="1"/>
  <c r="AW7" i="1"/>
  <c r="N7" i="1"/>
  <c r="AR18" i="1"/>
  <c r="AW21" i="1"/>
  <c r="AW3" i="1"/>
  <c r="N6" i="1"/>
  <c r="S11" i="1"/>
  <c r="AR17" i="1"/>
  <c r="AW20" i="1"/>
  <c r="N5" i="1"/>
  <c r="S10" i="1"/>
  <c r="AR16" i="1"/>
  <c r="AW19" i="1"/>
  <c r="N4" i="1"/>
  <c r="S9" i="1"/>
  <c r="AR15" i="1"/>
  <c r="AW15" i="1"/>
  <c r="BL14" i="1"/>
  <c r="N3" i="1"/>
  <c r="AR14" i="1"/>
  <c r="D13" i="1"/>
  <c r="N19" i="1"/>
  <c r="S2" i="1"/>
  <c r="S7" i="1"/>
  <c r="AM19" i="1"/>
  <c r="AR13" i="1"/>
  <c r="AW13" i="1"/>
  <c r="D12" i="1"/>
  <c r="N18" i="1"/>
  <c r="S21" i="1"/>
  <c r="S3" i="1"/>
  <c r="AM11" i="1"/>
  <c r="AW12" i="1"/>
  <c r="N8" i="1"/>
  <c r="AR8" i="1"/>
  <c r="N17" i="1"/>
  <c r="S20" i="1"/>
  <c r="X2" i="1"/>
  <c r="AM10" i="1"/>
  <c r="AR6" i="1"/>
  <c r="AW11" i="1"/>
  <c r="S15" i="1"/>
  <c r="AW9" i="1"/>
  <c r="BB9" i="1"/>
  <c r="S12" i="1"/>
  <c r="BB2" i="1"/>
  <c r="S8" i="1"/>
  <c r="AW14" i="1"/>
  <c r="X14" i="1"/>
  <c r="X15" i="1"/>
  <c r="X4" i="1"/>
  <c r="X5" i="1"/>
  <c r="X18" i="1"/>
  <c r="X19" i="1"/>
  <c r="X3" i="1"/>
  <c r="X16" i="1"/>
  <c r="X17" i="1"/>
  <c r="X6" i="1"/>
  <c r="X7" i="1"/>
  <c r="X8" i="1"/>
  <c r="X20" i="1"/>
  <c r="X10" i="1"/>
  <c r="BB21" i="1"/>
  <c r="AC8" i="1"/>
  <c r="AC20" i="1"/>
  <c r="AC10" i="1"/>
  <c r="AC11" i="1"/>
  <c r="AC15" i="1"/>
  <c r="AC4" i="1"/>
  <c r="AC9" i="1"/>
  <c r="AC21" i="1"/>
  <c r="AC2" i="1"/>
  <c r="AC12" i="1"/>
  <c r="AC13" i="1"/>
  <c r="AC14" i="1"/>
  <c r="AC3" i="1"/>
  <c r="AC16" i="1"/>
  <c r="BG7" i="1"/>
  <c r="BG8" i="1"/>
  <c r="BG20" i="1"/>
  <c r="BG2" i="1"/>
  <c r="BG13" i="1"/>
  <c r="BG3" i="1"/>
  <c r="BG4" i="1"/>
  <c r="BG9" i="1"/>
  <c r="BG21" i="1"/>
  <c r="BG10" i="1"/>
  <c r="BG11" i="1"/>
  <c r="BG12" i="1"/>
  <c r="BG14" i="1"/>
  <c r="BG15" i="1"/>
  <c r="BG16" i="1"/>
  <c r="X9" i="1"/>
  <c r="BB11" i="1"/>
  <c r="AC19" i="1"/>
  <c r="BB10" i="1"/>
  <c r="D4" i="1"/>
  <c r="D16" i="1"/>
  <c r="D18" i="1"/>
  <c r="D7" i="1"/>
  <c r="D8" i="1"/>
  <c r="D9" i="1"/>
  <c r="D2" i="1"/>
  <c r="D11" i="1"/>
  <c r="D5" i="1"/>
  <c r="D17" i="1"/>
  <c r="D6" i="1"/>
  <c r="D19" i="1"/>
  <c r="D20" i="1"/>
  <c r="D21" i="1"/>
  <c r="D10" i="1"/>
  <c r="AH4" i="1"/>
  <c r="AH16" i="1"/>
  <c r="AH6" i="1"/>
  <c r="AH7" i="1"/>
  <c r="AH20" i="1"/>
  <c r="AH21" i="1"/>
  <c r="AH2" i="1"/>
  <c r="AH11" i="1"/>
  <c r="AH5" i="1"/>
  <c r="AH17" i="1"/>
  <c r="AH18" i="1"/>
  <c r="AH19" i="1"/>
  <c r="AH8" i="1"/>
  <c r="AH9" i="1"/>
  <c r="AH10" i="1"/>
  <c r="AH12" i="1"/>
  <c r="BL3" i="1"/>
  <c r="BL15" i="1"/>
  <c r="BL4" i="1"/>
  <c r="BL16" i="1"/>
  <c r="BL6" i="1"/>
  <c r="BL19" i="1"/>
  <c r="BL20" i="1"/>
  <c r="BL9" i="1"/>
  <c r="BL2" i="1"/>
  <c r="BL5" i="1"/>
  <c r="BL17" i="1"/>
  <c r="BL18" i="1"/>
  <c r="BL7" i="1"/>
  <c r="BL8" i="1"/>
  <c r="BL21" i="1"/>
  <c r="BL10" i="1"/>
  <c r="BL11" i="1"/>
  <c r="BL12" i="1"/>
  <c r="AC18" i="1"/>
  <c r="AC17" i="1"/>
  <c r="BG19" i="1"/>
  <c r="D15" i="1"/>
  <c r="AC7" i="1"/>
  <c r="BG18" i="1"/>
  <c r="D14" i="1"/>
  <c r="AC6" i="1"/>
  <c r="BG17" i="1"/>
  <c r="BB3" i="1"/>
  <c r="BB4" i="1"/>
  <c r="BB17" i="1"/>
  <c r="BB6" i="1"/>
  <c r="BB7" i="1"/>
  <c r="BB14" i="1"/>
  <c r="BB15" i="1"/>
  <c r="BB16" i="1"/>
  <c r="BB5" i="1"/>
  <c r="BB18" i="1"/>
  <c r="BB19" i="1"/>
  <c r="BB8" i="1"/>
  <c r="BB20" i="1"/>
  <c r="AC5" i="1"/>
  <c r="BG6" i="1"/>
  <c r="I6" i="1"/>
  <c r="AM6" i="1"/>
  <c r="I17" i="1"/>
  <c r="I5" i="1"/>
  <c r="AM17" i="1"/>
  <c r="AM5" i="1"/>
  <c r="I16" i="1"/>
  <c r="AM4" i="1"/>
  <c r="I15" i="1"/>
  <c r="N11" i="1"/>
  <c r="AM15" i="1"/>
  <c r="AM3" i="1"/>
  <c r="AR11" i="1"/>
  <c r="I14" i="1"/>
  <c r="N10" i="1"/>
  <c r="S6" i="1"/>
  <c r="AR2" i="1"/>
  <c r="AW18" i="1"/>
  <c r="I13" i="1"/>
  <c r="N21" i="1"/>
  <c r="N9" i="1"/>
  <c r="S17" i="1"/>
  <c r="S5" i="1"/>
  <c r="X13" i="1"/>
  <c r="AM13" i="1"/>
  <c r="AR21" i="1"/>
  <c r="AR9" i="1"/>
  <c r="AW17" i="1"/>
  <c r="AW5" i="1"/>
  <c r="BB13" i="1"/>
  <c r="I18" i="1"/>
  <c r="AM18" i="1"/>
  <c r="I4" i="1"/>
  <c r="N12" i="1"/>
  <c r="AM16" i="1"/>
  <c r="AR12" i="1"/>
  <c r="I3" i="1"/>
  <c r="N2" i="1"/>
  <c r="S18" i="1"/>
  <c r="AM14" i="1"/>
  <c r="AR10" i="1"/>
  <c r="AW6" i="1"/>
  <c r="N20" i="1"/>
  <c r="S16" i="1"/>
  <c r="AR20" i="1"/>
  <c r="AW16" i="1"/>
</calcChain>
</file>

<file path=xl/sharedStrings.xml><?xml version="1.0" encoding="utf-8"?>
<sst xmlns="http://schemas.openxmlformats.org/spreadsheetml/2006/main" count="469" uniqueCount="68">
  <si>
    <t>centroid_id</t>
  </si>
  <si>
    <t>cod_cpue_2020_std</t>
  </si>
  <si>
    <t>cod_cpue_2020_std_sd</t>
  </si>
  <si>
    <t>cod_cpue_2020_std_label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</si>
  <si>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</si>
  <si>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</si>
  <si>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</si>
  <si>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</si>
  <si>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</si>
  <si>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</si>
  <si>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</si>
  <si>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</si>
  <si>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</si>
  <si>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</si>
  <si>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</si>
  <si>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</si>
  <si>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</si>
  <si>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</si>
  <si>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</si>
  <si>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</si>
  <si>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</si>
  <si>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</si>
  <si>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</si>
  <si>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</si>
  <si>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</si>
  <si>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</si>
  <si>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</si>
  <si>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</si>
  <si>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</si>
  <si>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</si>
  <si>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</si>
  <si>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</si>
  <si>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</si>
  <si>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</si>
  <si>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</si>
  <si>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</si>
  <si>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</si>
  <si>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</si>
  <si>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</si>
  <si>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</si>
  <si>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</si>
  <si>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</si>
  <si>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M</t>
  </si>
  <si>
    <t>L</t>
  </si>
  <si>
    <t>high attention</t>
  </si>
  <si>
    <t>medium attention</t>
  </si>
  <si>
    <t>low attention</t>
  </si>
  <si>
    <t>BIODIVERSITY</t>
  </si>
  <si>
    <t>0 - 0.5 - 1</t>
  </si>
  <si>
    <t>BATHYMETRY</t>
  </si>
  <si>
    <t>TEMPERATURE</t>
  </si>
  <si>
    <t>NPP</t>
  </si>
  <si>
    <t>FISHING</t>
  </si>
  <si>
    <t>SHIP</t>
  </si>
  <si>
    <t>ship</t>
  </si>
  <si>
    <t>SALINITY</t>
  </si>
  <si>
    <t>salinity</t>
  </si>
  <si>
    <t>OXYGEN</t>
  </si>
  <si>
    <t>DUMPING SITE</t>
  </si>
  <si>
    <t>dumping site</t>
  </si>
  <si>
    <t>military</t>
  </si>
  <si>
    <t>MILITARY</t>
  </si>
  <si>
    <t>WIND  FARM</t>
  </si>
  <si>
    <t>wind farm</t>
  </si>
  <si>
    <t>BEDROCK</t>
  </si>
  <si>
    <t>HARD BOTTOM</t>
  </si>
  <si>
    <t>WEIGHT ECO RISK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</si>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</sst>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0"/>
  <sheetViews>
    <sheetView tabSelected="1" zoomScale="90" zoomScaleNormal="90" workbookViewId="0">
      <selection activeCell="P30" sqref="P30"/>
    </sheetView>
  </sheetViews>
  <sheetFormatPr defaultRowHeight="24.85" customHeight="1" x14ac:dyDescent="0.45"/>
  <cols>
    <col min="1" max="1" width="11.06640625" style="1" bestFit="1" customWidth="1"/>
    <col min="2" max="2" width="18.796875" style="1" bestFit="1" customWidth="1"/>
    <col min="3" max="3" width="22" style="1" bestFit="1" customWidth="1"/>
    <col min="4" max="4" width="12.265625" style="1" bestFit="1" customWidth="1"/>
    <col min="5" max="5" width="13.59765625" style="1" bestFit="1" customWidth="1"/>
    <col min="6" max="6" width="24.33203125" style="1" bestFit="1" customWidth="1"/>
    <col min="7" max="7" width="20.3984375" style="1" bestFit="1" customWidth="1"/>
    <col min="8" max="8" width="23.53125" style="1" bestFit="1" customWidth="1"/>
    <col min="9" max="9" width="13" style="1" customWidth="1"/>
    <col min="10" max="10" width="14.1328125" style="1" bestFit="1" customWidth="1"/>
    <col min="11" max="11" width="26" style="1" bestFit="1" customWidth="1"/>
    <col min="12" max="12" width="29.06640625" style="1" bestFit="1" customWidth="1"/>
    <col min="13" max="13" width="32.06640625" style="1" bestFit="1" customWidth="1"/>
    <col min="14" max="14" width="12.3984375" style="1" bestFit="1" customWidth="1"/>
    <col min="15" max="15" width="14.1328125" style="1" bestFit="1" customWidth="1"/>
    <col min="16" max="16" width="34.53125" style="1" bestFit="1" customWidth="1"/>
    <col min="17" max="17" width="40" style="1" bestFit="1" customWidth="1"/>
    <col min="18" max="18" width="43.06640625" style="1" bestFit="1" customWidth="1"/>
    <col min="19" max="19" width="8.796875" style="1" bestFit="1" customWidth="1"/>
    <col min="20" max="20" width="4.59765625" style="1" bestFit="1" customWidth="1"/>
    <col min="21" max="21" width="45.59765625" style="1" bestFit="1" customWidth="1"/>
    <col min="22" max="22" width="30.19921875" style="1" bestFit="1" customWidth="1"/>
    <col min="23" max="23" width="33.33203125" style="1" bestFit="1" customWidth="1"/>
    <col min="24" max="24" width="8.796875" style="1" bestFit="1" customWidth="1"/>
    <col min="25" max="25" width="8.3984375" style="1" bestFit="1" customWidth="1"/>
    <col min="26" max="26" width="35.73046875" style="1" bestFit="1" customWidth="1"/>
    <col min="27" max="27" width="27.46484375" style="1" bestFit="1" customWidth="1"/>
    <col min="28" max="28" width="30.53125" style="1" bestFit="1" customWidth="1"/>
    <col min="29" max="29" width="8.796875" style="1" bestFit="1" customWidth="1"/>
    <col min="30" max="30" width="5.19921875" style="1" bestFit="1" customWidth="1"/>
    <col min="31" max="31" width="33.06640625" style="1" bestFit="1" customWidth="1"/>
    <col min="32" max="32" width="24.265625" style="1" bestFit="1" customWidth="1"/>
    <col min="33" max="33" width="27.46484375" style="1" bestFit="1" customWidth="1"/>
    <col min="34" max="34" width="8.796875" style="1" bestFit="1" customWidth="1"/>
    <col min="35" max="35" width="8.9296875" style="1" bestFit="1" customWidth="1"/>
    <col min="36" max="36" width="29.9296875" style="1" bestFit="1" customWidth="1"/>
    <col min="37" max="37" width="37.46484375" style="1" bestFit="1" customWidth="1"/>
    <col min="38" max="38" width="40.59765625" style="1" bestFit="1" customWidth="1"/>
    <col min="39" max="39" width="8.796875" style="1" bestFit="1" customWidth="1"/>
    <col min="40" max="40" width="8.3984375" style="1" bestFit="1" customWidth="1"/>
    <col min="41" max="41" width="43" style="1" bestFit="1" customWidth="1"/>
    <col min="42" max="42" width="18.6640625" style="1" bestFit="1" customWidth="1"/>
    <col min="43" max="43" width="21.73046875" style="1" bestFit="1" customWidth="1"/>
    <col min="44" max="44" width="8.796875" style="1" bestFit="1" customWidth="1"/>
    <col min="45" max="45" width="14.1328125" style="1" bestFit="1" customWidth="1"/>
    <col min="46" max="46" width="24.1328125" style="1" bestFit="1" customWidth="1"/>
    <col min="47" max="47" width="18.1328125" style="1" bestFit="1" customWidth="1"/>
    <col min="48" max="48" width="21.33203125" style="1" bestFit="1" customWidth="1"/>
    <col min="49" max="49" width="8.796875" style="1" bestFit="1" customWidth="1"/>
    <col min="50" max="50" width="9.19921875" style="1" bestFit="1" customWidth="1"/>
    <col min="51" max="51" width="23.73046875" style="1" bestFit="1" customWidth="1"/>
    <col min="52" max="52" width="15.796875" style="1" bestFit="1" customWidth="1"/>
    <col min="53" max="53" width="18.9296875" style="1" bestFit="1" customWidth="1"/>
    <col min="54" max="54" width="8.796875" style="1" bestFit="1" customWidth="1"/>
    <col min="55" max="55" width="11.86328125" style="1" bestFit="1" customWidth="1"/>
    <col min="56" max="56" width="21.3984375" style="1" bestFit="1" customWidth="1"/>
    <col min="57" max="57" width="21.33203125" style="1" bestFit="1" customWidth="1"/>
    <col min="58" max="58" width="24.33203125" style="1" bestFit="1" customWidth="1"/>
    <col min="59" max="59" width="8.796875" style="1" bestFit="1" customWidth="1"/>
    <col min="60" max="60" width="9.73046875" style="1" bestFit="1" customWidth="1"/>
    <col min="61" max="61" width="26.796875" style="1" bestFit="1" customWidth="1"/>
    <col min="62" max="62" width="25.59765625" style="1" bestFit="1" customWidth="1"/>
    <col min="63" max="63" width="28.59765625" style="1" bestFit="1" customWidth="1"/>
    <col min="64" max="64" width="8.796875" style="1" bestFit="1" customWidth="1"/>
    <col min="65" max="65" width="14.1328125" style="1" bestFit="1" customWidth="1"/>
    <col min="66" max="66" width="31.06640625" style="1" bestFit="1" customWidth="1"/>
    <col min="67" max="67" width="15" style="1" bestFit="1" customWidth="1"/>
    <col min="68" max="16384" width="9.06640625" style="1"/>
  </cols>
  <sheetData>
    <row r="1" spans="1:67" s="8" customFormat="1" ht="24.85" customHeight="1" x14ac:dyDescent="0.45">
      <c r="A1" s="5" t="s">
        <v>0</v>
      </c>
      <c r="B1" s="6" t="s">
        <v>1</v>
      </c>
      <c r="C1" s="6" t="s">
        <v>2</v>
      </c>
      <c r="D1" s="6" t="s">
        <v>48</v>
      </c>
      <c r="E1" s="6" t="s">
        <v>47</v>
      </c>
      <c r="F1" s="6" t="s">
        <v>3</v>
      </c>
      <c r="G1" s="7" t="s">
        <v>4</v>
      </c>
      <c r="H1" s="7" t="s">
        <v>5</v>
      </c>
      <c r="I1" s="7" t="s">
        <v>48</v>
      </c>
      <c r="J1" s="7" t="s">
        <v>49</v>
      </c>
      <c r="K1" s="7" t="s">
        <v>6</v>
      </c>
      <c r="L1" s="6" t="s">
        <v>7</v>
      </c>
      <c r="M1" s="6" t="s">
        <v>8</v>
      </c>
      <c r="N1" s="6" t="s">
        <v>48</v>
      </c>
      <c r="O1" s="6" t="s">
        <v>50</v>
      </c>
      <c r="P1" s="6" t="s">
        <v>9</v>
      </c>
      <c r="Q1" s="7" t="s">
        <v>10</v>
      </c>
      <c r="R1" s="7" t="s">
        <v>11</v>
      </c>
      <c r="S1" s="7" t="s">
        <v>48</v>
      </c>
      <c r="T1" s="7" t="s">
        <v>51</v>
      </c>
      <c r="U1" s="7" t="s">
        <v>12</v>
      </c>
      <c r="V1" s="6" t="s">
        <v>13</v>
      </c>
      <c r="W1" s="6" t="s">
        <v>14</v>
      </c>
      <c r="X1" s="6" t="s">
        <v>48</v>
      </c>
      <c r="Y1" s="6" t="s">
        <v>52</v>
      </c>
      <c r="Z1" s="6" t="s">
        <v>15</v>
      </c>
      <c r="AA1" s="7" t="s">
        <v>16</v>
      </c>
      <c r="AB1" s="7" t="s">
        <v>17</v>
      </c>
      <c r="AC1" s="7" t="s">
        <v>48</v>
      </c>
      <c r="AD1" s="7" t="s">
        <v>53</v>
      </c>
      <c r="AE1" s="7" t="s">
        <v>18</v>
      </c>
      <c r="AF1" s="6" t="s">
        <v>19</v>
      </c>
      <c r="AG1" s="6" t="s">
        <v>20</v>
      </c>
      <c r="AH1" s="6" t="s">
        <v>48</v>
      </c>
      <c r="AI1" s="6" t="s">
        <v>55</v>
      </c>
      <c r="AJ1" s="6" t="s">
        <v>21</v>
      </c>
      <c r="AK1" s="7" t="s">
        <v>22</v>
      </c>
      <c r="AL1" s="7" t="s">
        <v>23</v>
      </c>
      <c r="AM1" s="7" t="s">
        <v>48</v>
      </c>
      <c r="AN1" s="7" t="s">
        <v>57</v>
      </c>
      <c r="AO1" s="7" t="s">
        <v>24</v>
      </c>
      <c r="AP1" s="6" t="s">
        <v>25</v>
      </c>
      <c r="AQ1" s="6" t="s">
        <v>26</v>
      </c>
      <c r="AR1" s="6" t="s">
        <v>48</v>
      </c>
      <c r="AS1" s="6" t="s">
        <v>58</v>
      </c>
      <c r="AT1" s="6" t="s">
        <v>27</v>
      </c>
      <c r="AU1" s="7" t="s">
        <v>28</v>
      </c>
      <c r="AV1" s="7" t="s">
        <v>29</v>
      </c>
      <c r="AW1" s="7" t="s">
        <v>48</v>
      </c>
      <c r="AX1" s="7" t="s">
        <v>61</v>
      </c>
      <c r="AY1" s="7" t="s">
        <v>30</v>
      </c>
      <c r="AZ1" s="6" t="s">
        <v>31</v>
      </c>
      <c r="BA1" s="6" t="s">
        <v>32</v>
      </c>
      <c r="BB1" s="6" t="s">
        <v>48</v>
      </c>
      <c r="BC1" s="6" t="s">
        <v>62</v>
      </c>
      <c r="BD1" s="6" t="s">
        <v>33</v>
      </c>
      <c r="BE1" s="7" t="s">
        <v>34</v>
      </c>
      <c r="BF1" s="7" t="s">
        <v>35</v>
      </c>
      <c r="BG1" s="7" t="s">
        <v>48</v>
      </c>
      <c r="BH1" s="7" t="s">
        <v>64</v>
      </c>
      <c r="BI1" s="7" t="s">
        <v>36</v>
      </c>
      <c r="BJ1" s="6" t="s">
        <v>37</v>
      </c>
      <c r="BK1" s="6" t="s">
        <v>38</v>
      </c>
      <c r="BL1" s="6" t="s">
        <v>48</v>
      </c>
      <c r="BM1" s="6" t="s">
        <v>65</v>
      </c>
      <c r="BN1" s="6" t="s">
        <v>39</v>
      </c>
      <c r="BO1" s="5" t="s">
        <v>40</v>
      </c>
    </row>
    <row r="2" spans="1:67" ht="24.85" customHeight="1" x14ac:dyDescent="0.45">
      <c r="A2" s="2">
        <v>1</v>
      </c>
      <c r="B2" s="3">
        <v>0.143137210166667</v>
      </c>
      <c r="C2" s="3">
        <v>0.66617767300669894</v>
      </c>
      <c r="D2" s="3">
        <f>IF(B2 &gt; $B$22 + $C$22, 1, IF(B2 &gt;= $B$22 + $C$22/2, 0.5, 0))</f>
        <v>0</v>
      </c>
      <c r="E2" s="3"/>
      <c r="F2" s="3" t="s">
        <v>41</v>
      </c>
      <c r="G2" s="4">
        <v>0.7580884456875</v>
      </c>
      <c r="H2" s="4">
        <v>0.63988045831205298</v>
      </c>
      <c r="I2" s="4">
        <f>IF(G2 &gt; $G$22 + $H$22, 1, IF(G2 &gt;= $G$22 + $H$22/2, 0.5, 0))</f>
        <v>1</v>
      </c>
      <c r="J2" s="4" t="s">
        <v>49</v>
      </c>
      <c r="K2" s="4" t="s">
        <v>42</v>
      </c>
      <c r="L2" s="3">
        <v>-0.68891550847916605</v>
      </c>
      <c r="M2" s="3">
        <v>0.55661748838071701</v>
      </c>
      <c r="N2" s="3">
        <f>IF(L2 &gt; $L$22 + $M$22, 1, IF(L2 &gt;= $L$22 + $M$22/2, 0.5, 0))</f>
        <v>0</v>
      </c>
      <c r="O2" s="3"/>
      <c r="P2" s="3" t="s">
        <v>43</v>
      </c>
      <c r="Q2" s="4">
        <v>0.19232465612499999</v>
      </c>
      <c r="R2" s="4">
        <v>0.54182414482743202</v>
      </c>
      <c r="S2" s="4">
        <f>IF(Q2 &gt; $Q$22 + $R$22, 1, IF(Q2 &gt;= $Q$22 + $R$22/2, 0.5, 0))</f>
        <v>0</v>
      </c>
      <c r="T2" s="4"/>
      <c r="U2" s="4" t="s">
        <v>41</v>
      </c>
      <c r="V2" s="3">
        <v>3.0366339847291699</v>
      </c>
      <c r="W2" s="3">
        <v>1.39170723130677</v>
      </c>
      <c r="X2" s="3">
        <f>IF(V2 &gt; $V$22 + $W$22, 1, IF(V2 &gt;= $V$22 + $W$22/2, 0.5, 0))</f>
        <v>1</v>
      </c>
      <c r="Y2" s="3" t="s">
        <v>52</v>
      </c>
      <c r="Z2" s="3" t="s">
        <v>41</v>
      </c>
      <c r="AA2" s="4">
        <v>-0.15782124339583301</v>
      </c>
      <c r="AB2" s="4">
        <v>0.30581118303107502</v>
      </c>
      <c r="AC2" s="4">
        <f>IF(AA2 &gt; $AA$22 + $AB$22, 1, IF(AA2 &gt;= $AA$22 + $AB$22/2, 0.5, 0))</f>
        <v>0</v>
      </c>
      <c r="AD2" s="4"/>
      <c r="AE2" s="4" t="s">
        <v>42</v>
      </c>
      <c r="AF2" s="3">
        <v>-0.44926924662500001</v>
      </c>
      <c r="AG2" s="3">
        <v>0.22090118831528799</v>
      </c>
      <c r="AH2" s="3">
        <f>IF(AF2 &gt; $AF$22 + $AG$22, 1, IF(AF2 &gt;= $AF$22 + $AG$22/2, 0.5, 0))</f>
        <v>0</v>
      </c>
      <c r="AI2" s="3"/>
      <c r="AJ2" s="3" t="s">
        <v>43</v>
      </c>
      <c r="AK2" s="4">
        <v>0.30204305045833302</v>
      </c>
      <c r="AL2" s="4">
        <v>0.64512059647252795</v>
      </c>
      <c r="AM2" s="4">
        <f>IF(AK2 &gt; $AK$22 + $AL$22, 1, IF(AK2 &gt;= $AK$22 + $AL$22/2, 0.5, 0))</f>
        <v>1</v>
      </c>
      <c r="AN2" s="4" t="s">
        <v>57</v>
      </c>
      <c r="AO2" s="4" t="s">
        <v>42</v>
      </c>
      <c r="AP2" s="3">
        <v>0.16666666666666699</v>
      </c>
      <c r="AQ2" s="3">
        <v>0.37662178857735501</v>
      </c>
      <c r="AR2" s="3">
        <f>IF(AP2 &gt;$AP$22 + $AQ$22, 1, IF(AP2 &gt;=$AP$22 +$AQ$22/2, 0.5, 0))</f>
        <v>0</v>
      </c>
      <c r="AS2" s="3"/>
      <c r="AT2" s="3" t="s">
        <v>41</v>
      </c>
      <c r="AU2" s="4">
        <v>0.14583333333333301</v>
      </c>
      <c r="AV2" s="4">
        <v>0.35667395763741599</v>
      </c>
      <c r="AW2" s="4">
        <f>IF(AU2 &gt;$AU$22 + $AV$22, 1, IF(AU2 &gt;=$AU$22 +$AV$22/2, 0.5, 0))</f>
        <v>0</v>
      </c>
      <c r="AX2" s="4"/>
      <c r="AY2" s="4" t="s">
        <v>42</v>
      </c>
      <c r="AZ2" s="3">
        <v>4.1666666666666699E-2</v>
      </c>
      <c r="BA2" s="3">
        <v>0.20194093652345901</v>
      </c>
      <c r="BB2" s="3">
        <f>IF(AZ2 &gt;$AZ$22 + $BA$22, 1, IF(AZ2 &gt;=$AZ$22 +$BA$22/2, 0.5, 0))</f>
        <v>0</v>
      </c>
      <c r="BC2" s="3"/>
      <c r="BD2" s="3" t="s">
        <v>41</v>
      </c>
      <c r="BE2" s="4">
        <v>0</v>
      </c>
      <c r="BF2" s="4">
        <v>0</v>
      </c>
      <c r="BG2" s="9">
        <f>IF(BE2 &gt;$BE$22 + $BF$22, 1, IF(BE2 &gt;=$BE$22 +$BF$22/2, 0.5, 0))</f>
        <v>0</v>
      </c>
      <c r="BH2" s="4"/>
      <c r="BI2" s="4" t="s">
        <v>42</v>
      </c>
      <c r="BJ2" s="3">
        <v>2.0833333333333301E-2</v>
      </c>
      <c r="BK2" s="3">
        <v>0.14433756729740599</v>
      </c>
      <c r="BL2" s="3">
        <f>IF(BJ2 &gt;$BJ$22 + $BK$22, 1, IF(BJ2 &gt;=$BJ$22 +$BK$22/2, 0.5, 0))</f>
        <v>0</v>
      </c>
      <c r="BM2" s="3"/>
      <c r="BN2" s="3" t="s">
        <v>41</v>
      </c>
      <c r="BO2" s="2" t="s">
        <v>44</v>
      </c>
    </row>
    <row r="3" spans="1:67" ht="24.85" customHeight="1" x14ac:dyDescent="0.45">
      <c r="A3" s="9">
        <v>2</v>
      </c>
      <c r="B3" s="9">
        <v>3.2320230598999999</v>
      </c>
      <c r="C3" s="9">
        <v>0.80987170558673205</v>
      </c>
      <c r="D3" s="9">
        <f t="shared" ref="D3:D21" si="0">IF(B3 &gt; $B$22 + $C$22, 1, IF(B3 &gt;= $B$22 + $C$22/2, 0.5, 0))</f>
        <v>1</v>
      </c>
      <c r="E3" s="9" t="s">
        <v>47</v>
      </c>
      <c r="F3" s="9" t="s">
        <v>41</v>
      </c>
      <c r="G3" s="9">
        <v>0.71412781386666702</v>
      </c>
      <c r="H3" s="9">
        <v>0.65597736987350497</v>
      </c>
      <c r="I3" s="9">
        <f t="shared" ref="I3:I21" si="1">IF(G3 &gt; $G$22 + $H$22, 1, IF(G3 &gt;= $G$22 + $H$22/2, 0.5, 0))</f>
        <v>1</v>
      </c>
      <c r="J3" s="9" t="s">
        <v>49</v>
      </c>
      <c r="K3" s="9" t="s">
        <v>42</v>
      </c>
      <c r="L3" s="9">
        <v>-0.74931115380000002</v>
      </c>
      <c r="M3" s="9">
        <v>0.37597135322248099</v>
      </c>
      <c r="N3" s="9">
        <f t="shared" ref="N3:N21" si="2">IF(L3 &gt; $L$22 + $M$22, 1, IF(L3 &gt;= $L$22 + $M$22/2, 0.5, 0))</f>
        <v>0</v>
      </c>
      <c r="O3" s="9"/>
      <c r="P3" s="9" t="s">
        <v>43</v>
      </c>
      <c r="Q3" s="9">
        <v>-0.126210292633333</v>
      </c>
      <c r="R3" s="9">
        <v>0.21313866394383299</v>
      </c>
      <c r="S3" s="9">
        <f t="shared" ref="S3:S21" si="3">IF(Q3 &gt; $Q$22 + $R$22, 1, IF(Q3 &gt;= $Q$22 + $R$22/2, 0.5, 0))</f>
        <v>0</v>
      </c>
      <c r="T3" s="9"/>
      <c r="U3" s="9" t="s">
        <v>42</v>
      </c>
      <c r="V3" s="9">
        <v>5.2603508366666697E-2</v>
      </c>
      <c r="W3" s="9">
        <v>0.49691725586182101</v>
      </c>
      <c r="X3" s="3">
        <f t="shared" ref="X3:X21" si="4">IF(V3 &gt; $V$22 + $W$22, 1, IF(V3 &gt;= $V$22 + $W$22/2, 0.5, 0))</f>
        <v>0</v>
      </c>
      <c r="Y3" s="9"/>
      <c r="Z3" s="9" t="s">
        <v>42</v>
      </c>
      <c r="AA3" s="9">
        <v>-0.202464013033333</v>
      </c>
      <c r="AB3" s="9">
        <v>0.28839561382916401</v>
      </c>
      <c r="AC3" s="4">
        <f t="shared" ref="AC3:AC21" si="5">IF(AA3 &gt; $AA$22 + $AB$22, 1, IF(AA3 &gt;= $AA$22 + $AB$22/2, 0.5, 0))</f>
        <v>0</v>
      </c>
      <c r="AD3" s="9"/>
      <c r="AE3" s="9" t="s">
        <v>42</v>
      </c>
      <c r="AF3" s="9">
        <v>-0.39781901483333298</v>
      </c>
      <c r="AG3" s="9">
        <v>0.260025173985583</v>
      </c>
      <c r="AH3" s="3">
        <f t="shared" ref="AH3:AH21" si="6">IF(AF3 &gt; $AF$22 + $AG$22, 1, IF(AF3 &gt;= $AF$22 + $AG$22/2, 0.5, 0))</f>
        <v>0</v>
      </c>
      <c r="AI3" s="9"/>
      <c r="AJ3" s="9" t="s">
        <v>43</v>
      </c>
      <c r="AK3" s="9">
        <v>0.180812217033333</v>
      </c>
      <c r="AL3" s="9">
        <v>0.59900495789994501</v>
      </c>
      <c r="AM3" s="4">
        <f t="shared" ref="AM3:AM21" si="7">IF(AK3 &gt; $AK$22 + $AL$22, 1, IF(AK3 &gt;= $AK$22 + $AL$22/2, 0.5, 0))</f>
        <v>1</v>
      </c>
      <c r="AN3" s="9" t="s">
        <v>57</v>
      </c>
      <c r="AO3" s="9" t="s">
        <v>42</v>
      </c>
      <c r="AP3" s="9">
        <v>6.6666666666666693E-2</v>
      </c>
      <c r="AQ3" s="9">
        <v>0.25370813170246198</v>
      </c>
      <c r="AR3" s="3">
        <f t="shared" ref="AR3:AR21" si="8">IF(AP3 &gt;$AP$22 + $AQ$22, 1, IF(AP3 &gt;=$AP$22 +$AQ$22/2, 0.5, 0))</f>
        <v>0</v>
      </c>
      <c r="AS3" s="9"/>
      <c r="AT3" s="9" t="s">
        <v>41</v>
      </c>
      <c r="AU3" s="9">
        <v>0.1</v>
      </c>
      <c r="AV3" s="9">
        <v>0.30512857662936499</v>
      </c>
      <c r="AW3" s="4">
        <f t="shared" ref="AW3:AW21" si="9">IF(AU3 &gt;$AU$22 + $AV$22, 1, IF(AU3 &gt;=$AU$22 +$AV$22/2, 0.5, 0))</f>
        <v>0</v>
      </c>
      <c r="AX3" s="9"/>
      <c r="AY3" s="9" t="s">
        <v>42</v>
      </c>
      <c r="AZ3" s="9">
        <v>6.6666666666666693E-2</v>
      </c>
      <c r="BA3" s="9">
        <v>0.25370813170246198</v>
      </c>
      <c r="BB3" s="3">
        <f t="shared" ref="BB3:BB21" si="10">IF(AZ3 &gt;$AZ$22 + $BA$22, 1, IF(AZ3 &gt;=$AZ$22 +$BA$22/2, 0.5, 0))</f>
        <v>0</v>
      </c>
      <c r="BC3" s="9"/>
      <c r="BD3" s="9" t="s">
        <v>41</v>
      </c>
      <c r="BE3" s="9">
        <v>0</v>
      </c>
      <c r="BF3" s="9">
        <v>0</v>
      </c>
      <c r="BG3" s="9">
        <f t="shared" ref="BG3:BG21" si="11">IF(BE3 &gt;$BE$22 + $BF$22, 1, IF(BE3 &gt;=$BE$22 +$BF$22/2, 0.5, 0))</f>
        <v>0</v>
      </c>
      <c r="BH3" s="9"/>
      <c r="BI3" s="9" t="s">
        <v>42</v>
      </c>
      <c r="BJ3" s="9">
        <v>0.2</v>
      </c>
      <c r="BK3" s="9">
        <v>0.406838102172486</v>
      </c>
      <c r="BL3" s="3">
        <f t="shared" ref="BL3:BL21" si="12">IF(BJ3 &gt;$BJ$22 + $BK$22, 1, IF(BJ3 &gt;=$BJ$22 +$BK$22/2, 0.5, 0))</f>
        <v>0</v>
      </c>
      <c r="BM3" s="9"/>
      <c r="BN3" s="9" t="s">
        <v>41</v>
      </c>
      <c r="BO3" s="9" t="s">
        <v>45</v>
      </c>
    </row>
    <row r="4" spans="1:67" ht="24.85" customHeight="1" x14ac:dyDescent="0.45">
      <c r="A4" s="2">
        <v>3</v>
      </c>
      <c r="B4" s="3">
        <v>3.7780990549999997E-2</v>
      </c>
      <c r="C4" s="3">
        <v>0.53041446115247404</v>
      </c>
      <c r="D4" s="3">
        <f t="shared" si="0"/>
        <v>0</v>
      </c>
      <c r="E4" s="3"/>
      <c r="F4" s="3" t="s">
        <v>42</v>
      </c>
      <c r="G4" s="4">
        <v>-0.44678049802499997</v>
      </c>
      <c r="H4" s="4">
        <v>0.405380483098772</v>
      </c>
      <c r="I4" s="4">
        <f t="shared" si="1"/>
        <v>0</v>
      </c>
      <c r="J4" s="4"/>
      <c r="K4" s="4" t="s">
        <v>43</v>
      </c>
      <c r="L4" s="3">
        <v>0.78129609585000004</v>
      </c>
      <c r="M4" s="3">
        <v>0.47465243962556602</v>
      </c>
      <c r="N4" s="3">
        <f t="shared" si="2"/>
        <v>1</v>
      </c>
      <c r="O4" s="3" t="s">
        <v>50</v>
      </c>
      <c r="P4" s="3" t="s">
        <v>42</v>
      </c>
      <c r="Q4" s="4">
        <v>-0.119282478675</v>
      </c>
      <c r="R4" s="4">
        <v>9.9946037805499294E-2</v>
      </c>
      <c r="S4" s="4">
        <f t="shared" si="3"/>
        <v>0</v>
      </c>
      <c r="T4" s="4"/>
      <c r="U4" s="4" t="s">
        <v>42</v>
      </c>
      <c r="V4" s="3">
        <v>-0.109462230125</v>
      </c>
      <c r="W4" s="3">
        <v>0.63738012033623803</v>
      </c>
      <c r="X4" s="3">
        <f t="shared" si="4"/>
        <v>0</v>
      </c>
      <c r="Y4" s="3"/>
      <c r="Z4" s="3" t="s">
        <v>42</v>
      </c>
      <c r="AA4" s="4">
        <v>-0.13366505072500001</v>
      </c>
      <c r="AB4" s="4">
        <v>0.43031822748694998</v>
      </c>
      <c r="AC4" s="4">
        <f t="shared" si="5"/>
        <v>0</v>
      </c>
      <c r="AD4" s="4"/>
      <c r="AE4" s="4" t="s">
        <v>42</v>
      </c>
      <c r="AF4" s="3">
        <v>-0.361065653775</v>
      </c>
      <c r="AG4" s="3">
        <v>0.33158009772394098</v>
      </c>
      <c r="AH4" s="3">
        <f t="shared" si="6"/>
        <v>0</v>
      </c>
      <c r="AI4" s="3"/>
      <c r="AJ4" s="3" t="s">
        <v>43</v>
      </c>
      <c r="AK4" s="4">
        <v>-0.56123277297499996</v>
      </c>
      <c r="AL4" s="4">
        <v>0.26389895308227601</v>
      </c>
      <c r="AM4" s="4">
        <f t="shared" si="7"/>
        <v>0</v>
      </c>
      <c r="AN4" s="4"/>
      <c r="AO4" s="4" t="s">
        <v>43</v>
      </c>
      <c r="AP4" s="3">
        <v>0.2</v>
      </c>
      <c r="AQ4" s="3">
        <v>0.405095746833467</v>
      </c>
      <c r="AR4" s="3">
        <f t="shared" si="8"/>
        <v>0.5</v>
      </c>
      <c r="AS4" s="3" t="s">
        <v>59</v>
      </c>
      <c r="AT4" s="3" t="s">
        <v>41</v>
      </c>
      <c r="AU4" s="4">
        <v>0.15</v>
      </c>
      <c r="AV4" s="4">
        <v>0.36162028533979002</v>
      </c>
      <c r="AW4" s="4">
        <f t="shared" si="9"/>
        <v>0</v>
      </c>
      <c r="AX4" s="4"/>
      <c r="AY4" s="4" t="s">
        <v>42</v>
      </c>
      <c r="AZ4" s="3">
        <v>0.77500000000000002</v>
      </c>
      <c r="BA4" s="3">
        <v>0.42290206176626</v>
      </c>
      <c r="BB4" s="3">
        <f t="shared" si="10"/>
        <v>1</v>
      </c>
      <c r="BC4" s="3" t="s">
        <v>62</v>
      </c>
      <c r="BD4" s="3" t="s">
        <v>41</v>
      </c>
      <c r="BE4" s="4">
        <v>0.1</v>
      </c>
      <c r="BF4" s="4">
        <v>0.30382181012510001</v>
      </c>
      <c r="BG4" s="9">
        <f t="shared" si="11"/>
        <v>1</v>
      </c>
      <c r="BH4" s="4" t="s">
        <v>64</v>
      </c>
      <c r="BI4" s="4" t="s">
        <v>41</v>
      </c>
      <c r="BJ4" s="3">
        <v>0</v>
      </c>
      <c r="BK4" s="3">
        <v>0</v>
      </c>
      <c r="BL4" s="3">
        <f t="shared" si="12"/>
        <v>0</v>
      </c>
      <c r="BM4" s="3"/>
      <c r="BN4" s="3" t="s">
        <v>42</v>
      </c>
      <c r="BO4" s="2" t="s">
        <v>45</v>
      </c>
    </row>
    <row r="5" spans="1:67" ht="24.85" customHeight="1" x14ac:dyDescent="0.45">
      <c r="A5" s="9">
        <v>4</v>
      </c>
      <c r="B5" s="9">
        <v>6.4855490395263198</v>
      </c>
      <c r="C5" s="9">
        <v>2.4052829405909</v>
      </c>
      <c r="D5" s="9">
        <f t="shared" si="0"/>
        <v>1</v>
      </c>
      <c r="E5" s="9" t="s">
        <v>47</v>
      </c>
      <c r="F5" s="9" t="s">
        <v>41</v>
      </c>
      <c r="G5" s="9">
        <v>0.45789987331579002</v>
      </c>
      <c r="H5" s="9">
        <v>0.89879836421084303</v>
      </c>
      <c r="I5" s="9">
        <f t="shared" si="1"/>
        <v>1</v>
      </c>
      <c r="J5" s="9" t="s">
        <v>49</v>
      </c>
      <c r="K5" s="9" t="s">
        <v>42</v>
      </c>
      <c r="L5" s="9">
        <v>-0.31242904915789499</v>
      </c>
      <c r="M5" s="9">
        <v>1.00323780589278</v>
      </c>
      <c r="N5" s="9">
        <f t="shared" si="2"/>
        <v>0</v>
      </c>
      <c r="O5" s="9"/>
      <c r="P5" s="9" t="s">
        <v>43</v>
      </c>
      <c r="Q5" s="9">
        <v>-0.116666031842105</v>
      </c>
      <c r="R5" s="9">
        <v>0.13419224368750801</v>
      </c>
      <c r="S5" s="9">
        <f t="shared" si="3"/>
        <v>0</v>
      </c>
      <c r="T5" s="9"/>
      <c r="U5" s="9" t="s">
        <v>42</v>
      </c>
      <c r="V5" s="9">
        <v>-6.9650194789473693E-2</v>
      </c>
      <c r="W5" s="9">
        <v>0.68374935698042605</v>
      </c>
      <c r="X5" s="3">
        <f t="shared" si="4"/>
        <v>0</v>
      </c>
      <c r="Y5" s="9"/>
      <c r="Z5" s="9" t="s">
        <v>42</v>
      </c>
      <c r="AA5" s="9">
        <v>0.15958384121052599</v>
      </c>
      <c r="AB5" s="9">
        <v>1.32078197374655</v>
      </c>
      <c r="AC5" s="4">
        <f t="shared" si="5"/>
        <v>0</v>
      </c>
      <c r="AD5" s="9"/>
      <c r="AE5" s="9" t="s">
        <v>41</v>
      </c>
      <c r="AF5" s="9">
        <v>0.118826648105263</v>
      </c>
      <c r="AG5" s="9">
        <v>0.83777440787375701</v>
      </c>
      <c r="AH5" s="3">
        <f t="shared" si="6"/>
        <v>0.5</v>
      </c>
      <c r="AI5" s="9" t="s">
        <v>56</v>
      </c>
      <c r="AJ5" s="9" t="s">
        <v>42</v>
      </c>
      <c r="AK5" s="9">
        <v>0.22990634989473699</v>
      </c>
      <c r="AL5" s="9">
        <v>0.43512287501715702</v>
      </c>
      <c r="AM5" s="4">
        <f t="shared" si="7"/>
        <v>1</v>
      </c>
      <c r="AN5" s="9" t="s">
        <v>57</v>
      </c>
      <c r="AO5" s="9" t="s">
        <v>42</v>
      </c>
      <c r="AP5" s="9">
        <v>5.2631578947368397E-2</v>
      </c>
      <c r="AQ5" s="9">
        <v>0.22941573387056199</v>
      </c>
      <c r="AR5" s="3">
        <f t="shared" si="8"/>
        <v>0</v>
      </c>
      <c r="AS5" s="9"/>
      <c r="AT5" s="9" t="s">
        <v>41</v>
      </c>
      <c r="AU5" s="9">
        <v>5.2631578947368397E-2</v>
      </c>
      <c r="AV5" s="9">
        <v>0.22941573387056199</v>
      </c>
      <c r="AW5" s="4">
        <f t="shared" si="9"/>
        <v>0</v>
      </c>
      <c r="AX5" s="9"/>
      <c r="AY5" s="9" t="s">
        <v>42</v>
      </c>
      <c r="AZ5" s="9">
        <v>0</v>
      </c>
      <c r="BA5" s="9">
        <v>0</v>
      </c>
      <c r="BB5" s="3">
        <f t="shared" si="10"/>
        <v>0</v>
      </c>
      <c r="BC5" s="9"/>
      <c r="BD5" s="9" t="s">
        <v>42</v>
      </c>
      <c r="BE5" s="9">
        <v>0</v>
      </c>
      <c r="BF5" s="9">
        <v>0</v>
      </c>
      <c r="BG5" s="9">
        <f t="shared" si="11"/>
        <v>0</v>
      </c>
      <c r="BH5" s="9"/>
      <c r="BI5" s="9" t="s">
        <v>42</v>
      </c>
      <c r="BJ5" s="9">
        <v>0</v>
      </c>
      <c r="BK5" s="9">
        <v>0</v>
      </c>
      <c r="BL5" s="3">
        <f t="shared" si="12"/>
        <v>0</v>
      </c>
      <c r="BM5" s="9"/>
      <c r="BN5" s="9" t="s">
        <v>42</v>
      </c>
      <c r="BO5" s="9" t="s">
        <v>45</v>
      </c>
    </row>
    <row r="6" spans="1:67" ht="24.85" customHeight="1" x14ac:dyDescent="0.45">
      <c r="A6" s="2">
        <v>5</v>
      </c>
      <c r="B6" s="3">
        <v>-1.12707446666667E-2</v>
      </c>
      <c r="C6" s="3">
        <v>0.35102397385942402</v>
      </c>
      <c r="D6" s="3">
        <f t="shared" si="0"/>
        <v>0</v>
      </c>
      <c r="E6" s="3"/>
      <c r="F6" s="3" t="s">
        <v>42</v>
      </c>
      <c r="G6" s="4">
        <v>-0.31507800223809501</v>
      </c>
      <c r="H6" s="4">
        <v>0.35140690085548498</v>
      </c>
      <c r="I6" s="4">
        <f t="shared" si="1"/>
        <v>0</v>
      </c>
      <c r="J6" s="4"/>
      <c r="K6" s="4" t="s">
        <v>43</v>
      </c>
      <c r="L6" s="3">
        <v>-0.25300311608333298</v>
      </c>
      <c r="M6" s="3">
        <v>0.45871641645709599</v>
      </c>
      <c r="N6" s="3">
        <f t="shared" si="2"/>
        <v>0</v>
      </c>
      <c r="O6" s="3"/>
      <c r="P6" s="3" t="s">
        <v>43</v>
      </c>
      <c r="Q6" s="4">
        <v>-0.192148357880952</v>
      </c>
      <c r="R6" s="4">
        <v>0.163670665091385</v>
      </c>
      <c r="S6" s="4">
        <f t="shared" si="3"/>
        <v>0</v>
      </c>
      <c r="T6" s="4"/>
      <c r="U6" s="4" t="s">
        <v>42</v>
      </c>
      <c r="V6" s="3">
        <v>-0.288388635178571</v>
      </c>
      <c r="W6" s="3">
        <v>0.33562355469086402</v>
      </c>
      <c r="X6" s="3">
        <f t="shared" si="4"/>
        <v>0</v>
      </c>
      <c r="Y6" s="3"/>
      <c r="Z6" s="3" t="s">
        <v>42</v>
      </c>
      <c r="AA6" s="4">
        <v>-0.30024028351190502</v>
      </c>
      <c r="AB6" s="4">
        <v>0.145352731525728</v>
      </c>
      <c r="AC6" s="4">
        <f t="shared" si="5"/>
        <v>0</v>
      </c>
      <c r="AD6" s="4"/>
      <c r="AE6" s="4" t="s">
        <v>42</v>
      </c>
      <c r="AF6" s="3">
        <v>-0.727011562059524</v>
      </c>
      <c r="AG6" s="3">
        <v>0.12332583491615499</v>
      </c>
      <c r="AH6" s="3">
        <f t="shared" si="6"/>
        <v>0</v>
      </c>
      <c r="AI6" s="3"/>
      <c r="AJ6" s="3" t="s">
        <v>43</v>
      </c>
      <c r="AK6" s="4">
        <v>-0.67802822848809496</v>
      </c>
      <c r="AL6" s="4">
        <v>0.19372877513324999</v>
      </c>
      <c r="AM6" s="4">
        <f t="shared" si="7"/>
        <v>0</v>
      </c>
      <c r="AN6" s="4"/>
      <c r="AO6" s="4" t="s">
        <v>43</v>
      </c>
      <c r="AP6" s="3">
        <v>2.3809523809523801E-2</v>
      </c>
      <c r="AQ6" s="3">
        <v>0.15337099490085801</v>
      </c>
      <c r="AR6" s="3">
        <f t="shared" si="8"/>
        <v>0</v>
      </c>
      <c r="AS6" s="3"/>
      <c r="AT6" s="3" t="s">
        <v>41</v>
      </c>
      <c r="AU6" s="4">
        <v>1</v>
      </c>
      <c r="AV6" s="4">
        <v>0</v>
      </c>
      <c r="AW6" s="4">
        <f t="shared" si="9"/>
        <v>1</v>
      </c>
      <c r="AX6" s="4" t="s">
        <v>61</v>
      </c>
      <c r="AY6" s="4" t="s">
        <v>42</v>
      </c>
      <c r="AZ6" s="3">
        <v>2.3809523809523801E-2</v>
      </c>
      <c r="BA6" s="3">
        <v>0.15337099490085801</v>
      </c>
      <c r="BB6" s="3">
        <f t="shared" si="10"/>
        <v>0</v>
      </c>
      <c r="BC6" s="3"/>
      <c r="BD6" s="3" t="s">
        <v>41</v>
      </c>
      <c r="BE6" s="4">
        <v>0</v>
      </c>
      <c r="BF6" s="4">
        <v>0</v>
      </c>
      <c r="BG6" s="9">
        <f t="shared" si="11"/>
        <v>0</v>
      </c>
      <c r="BH6" s="4"/>
      <c r="BI6" s="4" t="s">
        <v>42</v>
      </c>
      <c r="BJ6" s="3">
        <v>0</v>
      </c>
      <c r="BK6" s="3">
        <v>0</v>
      </c>
      <c r="BL6" s="3">
        <f t="shared" si="12"/>
        <v>0</v>
      </c>
      <c r="BM6" s="3"/>
      <c r="BN6" s="3" t="s">
        <v>42</v>
      </c>
      <c r="BO6" s="2" t="s">
        <v>45</v>
      </c>
    </row>
    <row r="7" spans="1:67" ht="24.85" customHeight="1" x14ac:dyDescent="0.45">
      <c r="A7" s="2">
        <v>6</v>
      </c>
      <c r="B7" s="3">
        <v>-0.44248537364000001</v>
      </c>
      <c r="C7" s="3">
        <v>8.7828431926961995E-3</v>
      </c>
      <c r="D7" s="3">
        <f t="shared" si="0"/>
        <v>0</v>
      </c>
      <c r="E7" s="3"/>
      <c r="F7" s="3" t="s">
        <v>43</v>
      </c>
      <c r="G7" s="4">
        <v>-0.96824204380000001</v>
      </c>
      <c r="H7" s="4">
        <v>0.21093069239596601</v>
      </c>
      <c r="I7" s="4">
        <f t="shared" si="1"/>
        <v>0</v>
      </c>
      <c r="J7" s="4"/>
      <c r="K7" s="4" t="s">
        <v>43</v>
      </c>
      <c r="L7" s="3">
        <v>1.1675215712</v>
      </c>
      <c r="M7" s="3">
        <v>0.19827770793011701</v>
      </c>
      <c r="N7" s="3">
        <f t="shared" si="2"/>
        <v>1</v>
      </c>
      <c r="O7" s="3" t="s">
        <v>50</v>
      </c>
      <c r="P7" s="3" t="s">
        <v>41</v>
      </c>
      <c r="Q7" s="4">
        <v>-0.33230526787999998</v>
      </c>
      <c r="R7" s="4">
        <v>0.107467729997986</v>
      </c>
      <c r="S7" s="4">
        <f t="shared" si="3"/>
        <v>0</v>
      </c>
      <c r="T7" s="4"/>
      <c r="U7" s="4" t="s">
        <v>43</v>
      </c>
      <c r="V7" s="3">
        <v>-0.29155414072000002</v>
      </c>
      <c r="W7" s="3">
        <v>0.54301361766691503</v>
      </c>
      <c r="X7" s="3">
        <f t="shared" si="4"/>
        <v>0</v>
      </c>
      <c r="Y7" s="3"/>
      <c r="Z7" s="3" t="s">
        <v>42</v>
      </c>
      <c r="AA7" s="4">
        <v>-0.29763612192</v>
      </c>
      <c r="AB7" s="4">
        <v>0.127609454416168</v>
      </c>
      <c r="AC7" s="4">
        <f t="shared" si="5"/>
        <v>0</v>
      </c>
      <c r="AD7" s="4"/>
      <c r="AE7" s="4" t="s">
        <v>42</v>
      </c>
      <c r="AF7" s="3">
        <v>1.6055184953999999</v>
      </c>
      <c r="AG7" s="3">
        <v>0.441544491624067</v>
      </c>
      <c r="AH7" s="3">
        <f t="shared" si="6"/>
        <v>1</v>
      </c>
      <c r="AI7" s="3" t="s">
        <v>55</v>
      </c>
      <c r="AJ7" s="3" t="s">
        <v>41</v>
      </c>
      <c r="AK7" s="4">
        <v>-0.4597921224</v>
      </c>
      <c r="AL7" s="4">
        <v>0.19450926540180299</v>
      </c>
      <c r="AM7" s="4">
        <f t="shared" si="7"/>
        <v>0</v>
      </c>
      <c r="AN7" s="4"/>
      <c r="AO7" s="4" t="s">
        <v>43</v>
      </c>
      <c r="AP7" s="3">
        <v>0</v>
      </c>
      <c r="AQ7" s="3">
        <v>0</v>
      </c>
      <c r="AR7" s="3">
        <f t="shared" si="8"/>
        <v>0</v>
      </c>
      <c r="AS7" s="3"/>
      <c r="AT7" s="3" t="s">
        <v>42</v>
      </c>
      <c r="AU7" s="4">
        <v>0.16</v>
      </c>
      <c r="AV7" s="4">
        <v>0.374165738677394</v>
      </c>
      <c r="AW7" s="4">
        <f t="shared" si="9"/>
        <v>0</v>
      </c>
      <c r="AX7" s="4"/>
      <c r="AY7" s="4" t="s">
        <v>42</v>
      </c>
      <c r="AZ7" s="3">
        <v>0.88</v>
      </c>
      <c r="BA7" s="3">
        <v>0.33166247903554003</v>
      </c>
      <c r="BB7" s="3">
        <f t="shared" si="10"/>
        <v>1</v>
      </c>
      <c r="BC7" s="3" t="s">
        <v>62</v>
      </c>
      <c r="BD7" s="3" t="s">
        <v>41</v>
      </c>
      <c r="BE7" s="4">
        <v>0</v>
      </c>
      <c r="BF7" s="4">
        <v>0</v>
      </c>
      <c r="BG7" s="9">
        <f t="shared" si="11"/>
        <v>0</v>
      </c>
      <c r="BH7" s="4"/>
      <c r="BI7" s="4" t="s">
        <v>42</v>
      </c>
      <c r="BJ7" s="3">
        <v>0.04</v>
      </c>
      <c r="BK7" s="3">
        <v>0.2</v>
      </c>
      <c r="BL7" s="3">
        <f t="shared" si="12"/>
        <v>0</v>
      </c>
      <c r="BM7" s="3"/>
      <c r="BN7" s="3" t="s">
        <v>41</v>
      </c>
      <c r="BO7" s="2" t="s">
        <v>45</v>
      </c>
    </row>
    <row r="8" spans="1:67" ht="24.85" customHeight="1" x14ac:dyDescent="0.45">
      <c r="A8" s="2">
        <v>7</v>
      </c>
      <c r="B8" s="3">
        <v>-0.32402681750000001</v>
      </c>
      <c r="C8" s="3">
        <v>1.60662147783825E-2</v>
      </c>
      <c r="D8" s="3">
        <f t="shared" si="0"/>
        <v>0</v>
      </c>
      <c r="E8" s="3"/>
      <c r="F8" s="3" t="s">
        <v>43</v>
      </c>
      <c r="G8" s="4">
        <v>-1.3986047537499999</v>
      </c>
      <c r="H8" s="4">
        <v>2.1057798251372401E-2</v>
      </c>
      <c r="I8" s="4">
        <f t="shared" si="1"/>
        <v>0</v>
      </c>
      <c r="J8" s="4"/>
      <c r="K8" s="4" t="s">
        <v>43</v>
      </c>
      <c r="L8" s="3">
        <v>1.147324367</v>
      </c>
      <c r="M8" s="3">
        <v>7.45012454555843E-2</v>
      </c>
      <c r="N8" s="3">
        <f t="shared" si="2"/>
        <v>1</v>
      </c>
      <c r="O8" s="3" t="s">
        <v>50</v>
      </c>
      <c r="P8" s="3" t="s">
        <v>41</v>
      </c>
      <c r="Q8" s="4">
        <v>9.1345514971875001</v>
      </c>
      <c r="R8" s="4">
        <v>0.432343383042603</v>
      </c>
      <c r="S8" s="4">
        <f t="shared" si="3"/>
        <v>1</v>
      </c>
      <c r="T8" s="4" t="s">
        <v>51</v>
      </c>
      <c r="U8" s="4" t="s">
        <v>41</v>
      </c>
      <c r="V8" s="3">
        <v>-0.52159150300000001</v>
      </c>
      <c r="W8" s="3">
        <v>0</v>
      </c>
      <c r="X8" s="3">
        <f t="shared" si="4"/>
        <v>0</v>
      </c>
      <c r="Y8" s="3"/>
      <c r="Z8" s="3" t="s">
        <v>43</v>
      </c>
      <c r="AA8" s="4">
        <v>-0.3928664381875</v>
      </c>
      <c r="AB8" s="4">
        <v>1.2906923250000001E-2</v>
      </c>
      <c r="AC8" s="4">
        <f t="shared" si="5"/>
        <v>0</v>
      </c>
      <c r="AD8" s="4"/>
      <c r="AE8" s="4" t="s">
        <v>43</v>
      </c>
      <c r="AF8" s="3">
        <v>-1.7567951753125</v>
      </c>
      <c r="AG8" s="3">
        <v>0.12810664445888401</v>
      </c>
      <c r="AH8" s="3">
        <f t="shared" si="6"/>
        <v>0</v>
      </c>
      <c r="AI8" s="3"/>
      <c r="AJ8" s="3" t="s">
        <v>43</v>
      </c>
      <c r="AK8" s="4">
        <v>-1.0189444135000001</v>
      </c>
      <c r="AL8" s="4">
        <v>3.0243714923830101E-2</v>
      </c>
      <c r="AM8" s="4">
        <f t="shared" si="7"/>
        <v>0</v>
      </c>
      <c r="AN8" s="4"/>
      <c r="AO8" s="4" t="s">
        <v>43</v>
      </c>
      <c r="AP8" s="3">
        <v>0</v>
      </c>
      <c r="AQ8" s="3">
        <v>0</v>
      </c>
      <c r="AR8" s="3">
        <f t="shared" si="8"/>
        <v>0</v>
      </c>
      <c r="AS8" s="3"/>
      <c r="AT8" s="3" t="s">
        <v>42</v>
      </c>
      <c r="AU8" s="4">
        <v>0</v>
      </c>
      <c r="AV8" s="4">
        <v>0</v>
      </c>
      <c r="AW8" s="4">
        <f t="shared" si="9"/>
        <v>0</v>
      </c>
      <c r="AX8" s="4"/>
      <c r="AY8" s="4" t="s">
        <v>42</v>
      </c>
      <c r="AZ8" s="3">
        <v>0</v>
      </c>
      <c r="BA8" s="3">
        <v>0</v>
      </c>
      <c r="BB8" s="3">
        <f t="shared" si="10"/>
        <v>0</v>
      </c>
      <c r="BC8" s="3"/>
      <c r="BD8" s="3" t="s">
        <v>42</v>
      </c>
      <c r="BE8" s="4">
        <v>0</v>
      </c>
      <c r="BF8" s="4">
        <v>0</v>
      </c>
      <c r="BG8" s="9">
        <f t="shared" si="11"/>
        <v>0</v>
      </c>
      <c r="BH8" s="4"/>
      <c r="BI8" s="4" t="s">
        <v>42</v>
      </c>
      <c r="BJ8" s="3">
        <v>0</v>
      </c>
      <c r="BK8" s="3">
        <v>0</v>
      </c>
      <c r="BL8" s="3">
        <f t="shared" si="12"/>
        <v>0</v>
      </c>
      <c r="BM8" s="3"/>
      <c r="BN8" s="3" t="s">
        <v>42</v>
      </c>
      <c r="BO8" s="2" t="s">
        <v>46</v>
      </c>
    </row>
    <row r="9" spans="1:67" ht="24.85" customHeight="1" x14ac:dyDescent="0.45">
      <c r="A9" s="2">
        <v>8</v>
      </c>
      <c r="B9" s="3">
        <v>-0.31518271739999998</v>
      </c>
      <c r="C9" s="3">
        <v>0.181925187928627</v>
      </c>
      <c r="D9" s="3">
        <f t="shared" si="0"/>
        <v>0</v>
      </c>
      <c r="E9" s="3"/>
      <c r="F9" s="3" t="s">
        <v>43</v>
      </c>
      <c r="G9" s="4">
        <v>-0.94066513606666702</v>
      </c>
      <c r="H9" s="4">
        <v>0.30818753025950402</v>
      </c>
      <c r="I9" s="4">
        <f t="shared" si="1"/>
        <v>0</v>
      </c>
      <c r="J9" s="4"/>
      <c r="K9" s="4" t="s">
        <v>43</v>
      </c>
      <c r="L9" s="3">
        <v>1.2741476467999999</v>
      </c>
      <c r="M9" s="3">
        <v>0.199910178622872</v>
      </c>
      <c r="N9" s="3">
        <f t="shared" si="2"/>
        <v>1</v>
      </c>
      <c r="O9" s="3" t="s">
        <v>50</v>
      </c>
      <c r="P9" s="3" t="s">
        <v>41</v>
      </c>
      <c r="Q9" s="4">
        <v>-3.7376229533333298E-2</v>
      </c>
      <c r="R9" s="4">
        <v>0.17484139093455101</v>
      </c>
      <c r="S9" s="4">
        <f t="shared" si="3"/>
        <v>0</v>
      </c>
      <c r="T9" s="4"/>
      <c r="U9" s="4" t="s">
        <v>41</v>
      </c>
      <c r="V9" s="3">
        <v>-0.38074583555555602</v>
      </c>
      <c r="W9" s="3">
        <v>0.241269248327665</v>
      </c>
      <c r="X9" s="3">
        <f t="shared" si="4"/>
        <v>0</v>
      </c>
      <c r="Y9" s="3"/>
      <c r="Z9" s="3" t="s">
        <v>43</v>
      </c>
      <c r="AA9" s="4">
        <v>-0.21119516697777799</v>
      </c>
      <c r="AB9" s="4">
        <v>0.34578245689318099</v>
      </c>
      <c r="AC9" s="4">
        <f t="shared" si="5"/>
        <v>0</v>
      </c>
      <c r="AD9" s="4"/>
      <c r="AE9" s="4" t="s">
        <v>42</v>
      </c>
      <c r="AF9" s="3">
        <v>-8.9263312111111104E-2</v>
      </c>
      <c r="AG9" s="3">
        <v>0.44573234923506</v>
      </c>
      <c r="AH9" s="3">
        <f t="shared" si="6"/>
        <v>0</v>
      </c>
      <c r="AI9" s="3"/>
      <c r="AJ9" s="3" t="s">
        <v>42</v>
      </c>
      <c r="AK9" s="4">
        <v>-0.68376061293333301</v>
      </c>
      <c r="AL9" s="4">
        <v>0.13592340514700199</v>
      </c>
      <c r="AM9" s="4">
        <f t="shared" si="7"/>
        <v>0</v>
      </c>
      <c r="AN9" s="4"/>
      <c r="AO9" s="4" t="s">
        <v>43</v>
      </c>
      <c r="AP9" s="3">
        <v>2.2222222222222199E-2</v>
      </c>
      <c r="AQ9" s="3">
        <v>0.14907119849998601</v>
      </c>
      <c r="AR9" s="3">
        <f t="shared" si="8"/>
        <v>0</v>
      </c>
      <c r="AS9" s="3"/>
      <c r="AT9" s="3" t="s">
        <v>41</v>
      </c>
      <c r="AU9" s="4">
        <v>8.8888888888888906E-2</v>
      </c>
      <c r="AV9" s="4">
        <v>0.28779903201415202</v>
      </c>
      <c r="AW9" s="4">
        <f t="shared" si="9"/>
        <v>0</v>
      </c>
      <c r="AX9" s="4"/>
      <c r="AY9" s="4" t="s">
        <v>42</v>
      </c>
      <c r="AZ9" s="3">
        <v>2.2222222222222199E-2</v>
      </c>
      <c r="BA9" s="3">
        <v>0.14907119849998601</v>
      </c>
      <c r="BB9" s="3">
        <f t="shared" si="10"/>
        <v>0</v>
      </c>
      <c r="BC9" s="3"/>
      <c r="BD9" s="3" t="s">
        <v>41</v>
      </c>
      <c r="BE9" s="4">
        <v>0</v>
      </c>
      <c r="BF9" s="4">
        <v>0</v>
      </c>
      <c r="BG9" s="9">
        <f t="shared" si="11"/>
        <v>0</v>
      </c>
      <c r="BH9" s="4"/>
      <c r="BI9" s="4" t="s">
        <v>42</v>
      </c>
      <c r="BJ9" s="3">
        <v>0.97777777777777797</v>
      </c>
      <c r="BK9" s="3">
        <v>0.14907119849998601</v>
      </c>
      <c r="BL9" s="3">
        <f t="shared" si="12"/>
        <v>1</v>
      </c>
      <c r="BM9" s="3" t="s">
        <v>65</v>
      </c>
      <c r="BN9" s="3" t="s">
        <v>41</v>
      </c>
      <c r="BO9" s="2" t="s">
        <v>44</v>
      </c>
    </row>
    <row r="10" spans="1:67" ht="24.85" customHeight="1" x14ac:dyDescent="0.45">
      <c r="A10" s="2">
        <v>9</v>
      </c>
      <c r="B10" s="3">
        <v>-0.44213452613333298</v>
      </c>
      <c r="C10" s="3">
        <v>1.20867928922186E-2</v>
      </c>
      <c r="D10" s="3">
        <f t="shared" si="0"/>
        <v>0</v>
      </c>
      <c r="E10" s="3"/>
      <c r="F10" s="3" t="s">
        <v>43</v>
      </c>
      <c r="G10" s="4">
        <v>-0.92950295049999998</v>
      </c>
      <c r="H10" s="4">
        <v>0.257317832505574</v>
      </c>
      <c r="I10" s="4">
        <f t="shared" si="1"/>
        <v>0</v>
      </c>
      <c r="J10" s="4"/>
      <c r="K10" s="4" t="s">
        <v>43</v>
      </c>
      <c r="L10" s="3">
        <v>1.0592743445666699</v>
      </c>
      <c r="M10" s="3">
        <v>0.16826570266767099</v>
      </c>
      <c r="N10" s="3">
        <f t="shared" si="2"/>
        <v>1</v>
      </c>
      <c r="O10" s="3" t="s">
        <v>50</v>
      </c>
      <c r="P10" s="3" t="s">
        <v>41</v>
      </c>
      <c r="Q10" s="4">
        <v>-0.15090736809999999</v>
      </c>
      <c r="R10" s="4">
        <v>0.31905116059662603</v>
      </c>
      <c r="S10" s="4">
        <f t="shared" si="3"/>
        <v>0</v>
      </c>
      <c r="T10" s="4"/>
      <c r="U10" s="4" t="s">
        <v>42</v>
      </c>
      <c r="V10" s="3">
        <v>-0.26951163486666702</v>
      </c>
      <c r="W10" s="3">
        <v>0.45615075891220902</v>
      </c>
      <c r="X10" s="3">
        <f t="shared" si="4"/>
        <v>0</v>
      </c>
      <c r="Y10" s="3"/>
      <c r="Z10" s="3" t="s">
        <v>42</v>
      </c>
      <c r="AA10" s="4">
        <v>-0.19656732069999999</v>
      </c>
      <c r="AB10" s="4">
        <v>0.39674005683603097</v>
      </c>
      <c r="AC10" s="4">
        <f t="shared" si="5"/>
        <v>0</v>
      </c>
      <c r="AD10" s="4"/>
      <c r="AE10" s="4" t="s">
        <v>42</v>
      </c>
      <c r="AF10" s="3">
        <v>1.5346992994333299</v>
      </c>
      <c r="AG10" s="3">
        <v>0.42556515112535998</v>
      </c>
      <c r="AH10" s="3">
        <f t="shared" si="6"/>
        <v>1</v>
      </c>
      <c r="AI10" s="3" t="s">
        <v>55</v>
      </c>
      <c r="AJ10" s="3" t="s">
        <v>41</v>
      </c>
      <c r="AK10" s="4">
        <v>-0.461326596266667</v>
      </c>
      <c r="AL10" s="4">
        <v>0.14325359273848501</v>
      </c>
      <c r="AM10" s="4">
        <f t="shared" si="7"/>
        <v>0</v>
      </c>
      <c r="AN10" s="4"/>
      <c r="AO10" s="4" t="s">
        <v>43</v>
      </c>
      <c r="AP10" s="3">
        <v>0</v>
      </c>
      <c r="AQ10" s="3">
        <v>0</v>
      </c>
      <c r="AR10" s="3">
        <f t="shared" si="8"/>
        <v>0</v>
      </c>
      <c r="AS10" s="3"/>
      <c r="AT10" s="3" t="s">
        <v>42</v>
      </c>
      <c r="AU10" s="4">
        <v>0</v>
      </c>
      <c r="AV10" s="4">
        <v>0</v>
      </c>
      <c r="AW10" s="4">
        <f t="shared" si="9"/>
        <v>0</v>
      </c>
      <c r="AX10" s="4"/>
      <c r="AY10" s="4" t="s">
        <v>42</v>
      </c>
      <c r="AZ10" s="3">
        <v>0</v>
      </c>
      <c r="BA10" s="3">
        <v>0</v>
      </c>
      <c r="BB10" s="3">
        <f t="shared" si="10"/>
        <v>0</v>
      </c>
      <c r="BC10" s="3"/>
      <c r="BD10" s="3" t="s">
        <v>42</v>
      </c>
      <c r="BE10" s="4">
        <v>0</v>
      </c>
      <c r="BF10" s="4">
        <v>0</v>
      </c>
      <c r="BG10" s="9">
        <f t="shared" si="11"/>
        <v>0</v>
      </c>
      <c r="BH10" s="4"/>
      <c r="BI10" s="4" t="s">
        <v>42</v>
      </c>
      <c r="BJ10" s="3">
        <v>1</v>
      </c>
      <c r="BK10" s="3">
        <v>0</v>
      </c>
      <c r="BL10" s="3">
        <f t="shared" si="12"/>
        <v>1</v>
      </c>
      <c r="BM10" s="3" t="s">
        <v>65</v>
      </c>
      <c r="BN10" s="3" t="s">
        <v>41</v>
      </c>
      <c r="BO10" s="2" t="s">
        <v>45</v>
      </c>
    </row>
    <row r="11" spans="1:67" ht="24.85" customHeight="1" x14ac:dyDescent="0.45">
      <c r="A11" s="2">
        <v>10</v>
      </c>
      <c r="B11" s="3">
        <v>-0.39633612101030902</v>
      </c>
      <c r="C11" s="3">
        <v>7.7766340080699894E-2</v>
      </c>
      <c r="D11" s="3">
        <f t="shared" si="0"/>
        <v>0</v>
      </c>
      <c r="E11" s="3"/>
      <c r="F11" s="3" t="s">
        <v>43</v>
      </c>
      <c r="G11" s="4">
        <v>2.1751045691340201</v>
      </c>
      <c r="H11" s="4">
        <v>0.54430695916986305</v>
      </c>
      <c r="I11" s="4">
        <f t="shared" si="1"/>
        <v>1</v>
      </c>
      <c r="J11" s="4" t="s">
        <v>49</v>
      </c>
      <c r="K11" s="4" t="s">
        <v>41</v>
      </c>
      <c r="L11" s="3">
        <v>-1.10101284793814</v>
      </c>
      <c r="M11" s="3">
        <v>0.25446588037033502</v>
      </c>
      <c r="N11" s="3">
        <f t="shared" si="2"/>
        <v>0</v>
      </c>
      <c r="O11" s="3"/>
      <c r="P11" s="3" t="s">
        <v>43</v>
      </c>
      <c r="Q11" s="4">
        <v>-0.34802681157732002</v>
      </c>
      <c r="R11" s="4">
        <v>0.101869215735824</v>
      </c>
      <c r="S11" s="4">
        <f t="shared" si="3"/>
        <v>0</v>
      </c>
      <c r="T11" s="4"/>
      <c r="U11" s="4" t="s">
        <v>43</v>
      </c>
      <c r="V11" s="3">
        <v>-0.292785743443299</v>
      </c>
      <c r="W11" s="3">
        <v>0.347221529334932</v>
      </c>
      <c r="X11" s="3">
        <f t="shared" si="4"/>
        <v>0</v>
      </c>
      <c r="Y11" s="3"/>
      <c r="Z11" s="3" t="s">
        <v>42</v>
      </c>
      <c r="AA11" s="4">
        <v>-0.22910153365979399</v>
      </c>
      <c r="AB11" s="4">
        <v>0.29127643267269798</v>
      </c>
      <c r="AC11" s="4">
        <f t="shared" si="5"/>
        <v>0</v>
      </c>
      <c r="AD11" s="4"/>
      <c r="AE11" s="4" t="s">
        <v>42</v>
      </c>
      <c r="AF11" s="3">
        <v>-0.312155721587629</v>
      </c>
      <c r="AG11" s="3">
        <v>8.61947527051347E-2</v>
      </c>
      <c r="AH11" s="3">
        <f t="shared" si="6"/>
        <v>0</v>
      </c>
      <c r="AI11" s="3"/>
      <c r="AJ11" s="3" t="s">
        <v>43</v>
      </c>
      <c r="AK11" s="4">
        <v>2.69872458271134</v>
      </c>
      <c r="AL11" s="4">
        <v>0.79542091119946901</v>
      </c>
      <c r="AM11" s="4">
        <f t="shared" si="7"/>
        <v>1</v>
      </c>
      <c r="AN11" s="4" t="s">
        <v>57</v>
      </c>
      <c r="AO11" s="4" t="s">
        <v>41</v>
      </c>
      <c r="AP11" s="3">
        <v>0.37113402061855699</v>
      </c>
      <c r="AQ11" s="3">
        <v>0.485617897392632</v>
      </c>
      <c r="AR11" s="3">
        <f t="shared" si="8"/>
        <v>1</v>
      </c>
      <c r="AS11" s="3" t="s">
        <v>58</v>
      </c>
      <c r="AT11" s="3" t="s">
        <v>41</v>
      </c>
      <c r="AU11" s="4">
        <v>7.2164948453608199E-2</v>
      </c>
      <c r="AV11" s="4">
        <v>0.26010505411325202</v>
      </c>
      <c r="AW11" s="4">
        <f t="shared" si="9"/>
        <v>0</v>
      </c>
      <c r="AX11" s="4"/>
      <c r="AY11" s="4" t="s">
        <v>42</v>
      </c>
      <c r="AZ11" s="3">
        <v>3.09278350515464E-2</v>
      </c>
      <c r="BA11" s="3">
        <v>0.17402156519994599</v>
      </c>
      <c r="BB11" s="3">
        <f t="shared" si="10"/>
        <v>0</v>
      </c>
      <c r="BC11" s="3"/>
      <c r="BD11" s="3" t="s">
        <v>41</v>
      </c>
      <c r="BE11" s="4">
        <v>0</v>
      </c>
      <c r="BF11" s="4">
        <v>0</v>
      </c>
      <c r="BG11" s="9">
        <f t="shared" si="11"/>
        <v>0</v>
      </c>
      <c r="BH11" s="4"/>
      <c r="BI11" s="4" t="s">
        <v>42</v>
      </c>
      <c r="BJ11" s="3">
        <v>0</v>
      </c>
      <c r="BK11" s="3">
        <v>0</v>
      </c>
      <c r="BL11" s="3">
        <f t="shared" si="12"/>
        <v>0</v>
      </c>
      <c r="BM11" s="3"/>
      <c r="BN11" s="3" t="s">
        <v>42</v>
      </c>
      <c r="BO11" s="2" t="s">
        <v>45</v>
      </c>
    </row>
    <row r="12" spans="1:67" ht="24.85" customHeight="1" x14ac:dyDescent="0.45">
      <c r="A12" s="2">
        <v>11</v>
      </c>
      <c r="B12" s="3">
        <v>7.3031141777777794E-2</v>
      </c>
      <c r="C12" s="3">
        <v>0.55906366455615697</v>
      </c>
      <c r="D12" s="3">
        <f t="shared" si="0"/>
        <v>0</v>
      </c>
      <c r="E12" s="3"/>
      <c r="F12" s="3" t="s">
        <v>42</v>
      </c>
      <c r="G12" s="4">
        <v>0.63746360494444498</v>
      </c>
      <c r="H12" s="4">
        <v>0.39575945426473302</v>
      </c>
      <c r="I12" s="4">
        <f t="shared" si="1"/>
        <v>1</v>
      </c>
      <c r="J12" s="4" t="s">
        <v>49</v>
      </c>
      <c r="K12" s="4" t="s">
        <v>42</v>
      </c>
      <c r="L12" s="3">
        <v>-0.431483810388889</v>
      </c>
      <c r="M12" s="3">
        <v>0.73736637041875297</v>
      </c>
      <c r="N12" s="3">
        <f t="shared" si="2"/>
        <v>0</v>
      </c>
      <c r="O12" s="3"/>
      <c r="P12" s="3" t="s">
        <v>43</v>
      </c>
      <c r="Q12" s="4">
        <v>-0.21548075955555601</v>
      </c>
      <c r="R12" s="4">
        <v>0.396658086625367</v>
      </c>
      <c r="S12" s="4">
        <f t="shared" si="3"/>
        <v>0</v>
      </c>
      <c r="T12" s="4"/>
      <c r="U12" s="4" t="s">
        <v>42</v>
      </c>
      <c r="V12" s="3">
        <v>0.22890463411111101</v>
      </c>
      <c r="W12" s="3">
        <v>0.90000685562318306</v>
      </c>
      <c r="X12" s="3">
        <f t="shared" si="4"/>
        <v>0</v>
      </c>
      <c r="Y12" s="3"/>
      <c r="Z12" s="3" t="s">
        <v>42</v>
      </c>
      <c r="AA12" s="4">
        <v>3.05832251233333</v>
      </c>
      <c r="AB12" s="4">
        <v>0.85759646647698795</v>
      </c>
      <c r="AC12" s="4">
        <f t="shared" si="5"/>
        <v>1</v>
      </c>
      <c r="AD12" s="4" t="s">
        <v>53</v>
      </c>
      <c r="AE12" s="4" t="s">
        <v>41</v>
      </c>
      <c r="AF12" s="3">
        <v>-0.24447589077777801</v>
      </c>
      <c r="AG12" s="3">
        <v>0.33632029780616401</v>
      </c>
      <c r="AH12" s="3">
        <f t="shared" si="6"/>
        <v>0</v>
      </c>
      <c r="AI12" s="3"/>
      <c r="AJ12" s="3" t="s">
        <v>42</v>
      </c>
      <c r="AK12" s="4">
        <v>0.24640747361111101</v>
      </c>
      <c r="AL12" s="4">
        <v>0.40223689662784401</v>
      </c>
      <c r="AM12" s="4">
        <f t="shared" si="7"/>
        <v>1</v>
      </c>
      <c r="AN12" s="4" t="s">
        <v>57</v>
      </c>
      <c r="AO12" s="4" t="s">
        <v>42</v>
      </c>
      <c r="AP12" s="3">
        <v>0.33333333333333298</v>
      </c>
      <c r="AQ12" s="3">
        <v>0.48507125007266599</v>
      </c>
      <c r="AR12" s="3">
        <f t="shared" si="8"/>
        <v>1</v>
      </c>
      <c r="AS12" s="3" t="s">
        <v>58</v>
      </c>
      <c r="AT12" s="3" t="s">
        <v>41</v>
      </c>
      <c r="AU12" s="4">
        <v>5.5555555555555601E-2</v>
      </c>
      <c r="AV12" s="4">
        <v>0.23570226039551601</v>
      </c>
      <c r="AW12" s="4">
        <f t="shared" si="9"/>
        <v>0</v>
      </c>
      <c r="AX12" s="4"/>
      <c r="AY12" s="4" t="s">
        <v>42</v>
      </c>
      <c r="AZ12" s="3">
        <v>0</v>
      </c>
      <c r="BA12" s="3">
        <v>0</v>
      </c>
      <c r="BB12" s="3">
        <f t="shared" si="10"/>
        <v>0</v>
      </c>
      <c r="BC12" s="3"/>
      <c r="BD12" s="3" t="s">
        <v>42</v>
      </c>
      <c r="BE12" s="4">
        <v>0</v>
      </c>
      <c r="BF12" s="4">
        <v>0</v>
      </c>
      <c r="BG12" s="9">
        <f t="shared" si="11"/>
        <v>0</v>
      </c>
      <c r="BH12" s="4"/>
      <c r="BI12" s="4" t="s">
        <v>42</v>
      </c>
      <c r="BJ12" s="3">
        <v>0.11111111111111099</v>
      </c>
      <c r="BK12" s="3">
        <v>0.32338083338177698</v>
      </c>
      <c r="BL12" s="3">
        <f t="shared" si="12"/>
        <v>0</v>
      </c>
      <c r="BM12" s="3"/>
      <c r="BN12" s="3" t="s">
        <v>41</v>
      </c>
      <c r="BO12" s="2" t="s">
        <v>45</v>
      </c>
    </row>
    <row r="13" spans="1:67" ht="24.85" customHeight="1" x14ac:dyDescent="0.45">
      <c r="A13" s="2">
        <v>12</v>
      </c>
      <c r="B13" s="3">
        <v>-0.20985584800000001</v>
      </c>
      <c r="C13" s="3">
        <v>0.41529673330432199</v>
      </c>
      <c r="D13" s="3">
        <f t="shared" si="0"/>
        <v>0</v>
      </c>
      <c r="E13" s="3"/>
      <c r="F13" s="3" t="s">
        <v>42</v>
      </c>
      <c r="G13" s="4">
        <v>-0.99125512650000003</v>
      </c>
      <c r="H13" s="4">
        <v>0.18896568668050101</v>
      </c>
      <c r="I13" s="4">
        <f t="shared" si="1"/>
        <v>0</v>
      </c>
      <c r="J13" s="4"/>
      <c r="K13" s="4" t="s">
        <v>43</v>
      </c>
      <c r="L13" s="3">
        <v>0.89251511195</v>
      </c>
      <c r="M13" s="3">
        <v>0.32781575720971101</v>
      </c>
      <c r="N13" s="3">
        <f t="shared" si="2"/>
        <v>1</v>
      </c>
      <c r="O13" s="3" t="s">
        <v>50</v>
      </c>
      <c r="P13" s="3" t="s">
        <v>41</v>
      </c>
      <c r="Q13" s="4">
        <v>0.94539834850000004</v>
      </c>
      <c r="R13" s="4">
        <v>0.81304334240933496</v>
      </c>
      <c r="S13" s="4">
        <f t="shared" si="3"/>
        <v>1</v>
      </c>
      <c r="T13" s="4" t="s">
        <v>51</v>
      </c>
      <c r="U13" s="4" t="s">
        <v>41</v>
      </c>
      <c r="V13" s="3">
        <v>-0.39546151704999999</v>
      </c>
      <c r="W13" s="3">
        <v>0.231055829257694</v>
      </c>
      <c r="X13" s="3">
        <f t="shared" si="4"/>
        <v>0</v>
      </c>
      <c r="Y13" s="3"/>
      <c r="Z13" s="3" t="s">
        <v>43</v>
      </c>
      <c r="AA13" s="4">
        <v>-0.2235389941</v>
      </c>
      <c r="AB13" s="4">
        <v>0.293134031548832</v>
      </c>
      <c r="AC13" s="4">
        <f t="shared" si="5"/>
        <v>0</v>
      </c>
      <c r="AD13" s="4"/>
      <c r="AE13" s="4" t="s">
        <v>42</v>
      </c>
      <c r="AF13" s="3">
        <v>-0.82123383875</v>
      </c>
      <c r="AG13" s="3">
        <v>0.19709196629346401</v>
      </c>
      <c r="AH13" s="3">
        <f t="shared" si="6"/>
        <v>0</v>
      </c>
      <c r="AI13" s="3"/>
      <c r="AJ13" s="3" t="s">
        <v>43</v>
      </c>
      <c r="AK13" s="4">
        <v>-0.80436332180000003</v>
      </c>
      <c r="AL13" s="4">
        <v>0.102877600471958</v>
      </c>
      <c r="AM13" s="4">
        <f t="shared" si="7"/>
        <v>0</v>
      </c>
      <c r="AN13" s="4"/>
      <c r="AO13" s="4" t="s">
        <v>43</v>
      </c>
      <c r="AP13" s="3">
        <v>2.5000000000000001E-2</v>
      </c>
      <c r="AQ13" s="3">
        <v>0.158113883008419</v>
      </c>
      <c r="AR13" s="3">
        <f t="shared" si="8"/>
        <v>0</v>
      </c>
      <c r="AS13" s="3"/>
      <c r="AT13" s="3" t="s">
        <v>41</v>
      </c>
      <c r="AU13" s="4">
        <v>0.7</v>
      </c>
      <c r="AV13" s="4">
        <v>0.464095480892257</v>
      </c>
      <c r="AW13" s="4">
        <f t="shared" si="9"/>
        <v>1</v>
      </c>
      <c r="AX13" s="4" t="s">
        <v>61</v>
      </c>
      <c r="AY13" s="4" t="s">
        <v>42</v>
      </c>
      <c r="AZ13" s="3">
        <v>0</v>
      </c>
      <c r="BA13" s="3">
        <v>0</v>
      </c>
      <c r="BB13" s="3">
        <f t="shared" si="10"/>
        <v>0</v>
      </c>
      <c r="BC13" s="3"/>
      <c r="BD13" s="3" t="s">
        <v>42</v>
      </c>
      <c r="BE13" s="4">
        <v>0</v>
      </c>
      <c r="BF13" s="4">
        <v>0</v>
      </c>
      <c r="BG13" s="9">
        <f t="shared" si="11"/>
        <v>0</v>
      </c>
      <c r="BH13" s="4"/>
      <c r="BI13" s="4" t="s">
        <v>42</v>
      </c>
      <c r="BJ13" s="3">
        <v>0.35</v>
      </c>
      <c r="BK13" s="3">
        <v>0.483045891539648</v>
      </c>
      <c r="BL13" s="3">
        <f t="shared" si="12"/>
        <v>1</v>
      </c>
      <c r="BM13" s="3" t="s">
        <v>65</v>
      </c>
      <c r="BN13" s="3" t="s">
        <v>41</v>
      </c>
      <c r="BO13" s="2" t="s">
        <v>45</v>
      </c>
    </row>
    <row r="14" spans="1:67" ht="24.85" customHeight="1" x14ac:dyDescent="0.45">
      <c r="A14" s="2">
        <v>13</v>
      </c>
      <c r="B14" s="3">
        <v>-0.43968395251724202</v>
      </c>
      <c r="C14" s="3">
        <v>5.6320877970796896E-3</v>
      </c>
      <c r="D14" s="3">
        <f t="shared" si="0"/>
        <v>0</v>
      </c>
      <c r="E14" s="3"/>
      <c r="F14" s="3" t="s">
        <v>43</v>
      </c>
      <c r="G14" s="4">
        <v>-8.8017578758620693E-2</v>
      </c>
      <c r="H14" s="4">
        <v>0.45114278146821102</v>
      </c>
      <c r="I14" s="4">
        <f t="shared" si="1"/>
        <v>0</v>
      </c>
      <c r="J14" s="4"/>
      <c r="K14" s="4" t="s">
        <v>43</v>
      </c>
      <c r="L14" s="3">
        <v>0.51764236077586201</v>
      </c>
      <c r="M14" s="3">
        <v>0.28043589939308899</v>
      </c>
      <c r="N14" s="3">
        <f t="shared" si="2"/>
        <v>1</v>
      </c>
      <c r="O14" s="3" t="s">
        <v>50</v>
      </c>
      <c r="P14" s="3" t="s">
        <v>42</v>
      </c>
      <c r="Q14" s="4">
        <v>-0.395749799706896</v>
      </c>
      <c r="R14" s="4">
        <v>4.8442385159148497E-2</v>
      </c>
      <c r="S14" s="4">
        <f t="shared" si="3"/>
        <v>0</v>
      </c>
      <c r="T14" s="4"/>
      <c r="U14" s="4" t="s">
        <v>43</v>
      </c>
      <c r="V14" s="3">
        <v>3.4827380854137902</v>
      </c>
      <c r="W14" s="3">
        <v>1.0848912667030599</v>
      </c>
      <c r="X14" s="3">
        <f t="shared" si="4"/>
        <v>1</v>
      </c>
      <c r="Y14" s="3" t="s">
        <v>52</v>
      </c>
      <c r="Z14" s="3" t="s">
        <v>41</v>
      </c>
      <c r="AA14" s="4">
        <v>0.59486007844827604</v>
      </c>
      <c r="AB14" s="4">
        <v>1.2608836660516101</v>
      </c>
      <c r="AC14" s="4">
        <f t="shared" si="5"/>
        <v>0.5</v>
      </c>
      <c r="AD14" s="4" t="s">
        <v>54</v>
      </c>
      <c r="AE14" s="4" t="s">
        <v>41</v>
      </c>
      <c r="AF14" s="3">
        <v>2.4223793276724099</v>
      </c>
      <c r="AG14" s="3">
        <v>8.6876246352155295E-2</v>
      </c>
      <c r="AH14" s="3">
        <f t="shared" si="6"/>
        <v>1</v>
      </c>
      <c r="AI14" s="3" t="s">
        <v>55</v>
      </c>
      <c r="AJ14" s="3" t="s">
        <v>41</v>
      </c>
      <c r="AK14" s="4">
        <v>-0.25683797303448302</v>
      </c>
      <c r="AL14" s="4">
        <v>0.132236167352829</v>
      </c>
      <c r="AM14" s="4">
        <f t="shared" si="7"/>
        <v>0</v>
      </c>
      <c r="AN14" s="4"/>
      <c r="AO14" s="4" t="s">
        <v>42</v>
      </c>
      <c r="AP14" s="3">
        <v>0</v>
      </c>
      <c r="AQ14" s="3">
        <v>0</v>
      </c>
      <c r="AR14" s="3">
        <f t="shared" si="8"/>
        <v>0</v>
      </c>
      <c r="AS14" s="3"/>
      <c r="AT14" s="3" t="s">
        <v>42</v>
      </c>
      <c r="AU14" s="4">
        <v>1.72413793103448E-2</v>
      </c>
      <c r="AV14" s="4">
        <v>0.13130643285972299</v>
      </c>
      <c r="AW14" s="4">
        <f t="shared" si="9"/>
        <v>0</v>
      </c>
      <c r="AX14" s="4"/>
      <c r="AY14" s="4" t="s">
        <v>42</v>
      </c>
      <c r="AZ14" s="3">
        <v>0.25862068965517199</v>
      </c>
      <c r="BA14" s="3">
        <v>0.44170105106485402</v>
      </c>
      <c r="BB14" s="3">
        <f t="shared" si="10"/>
        <v>1</v>
      </c>
      <c r="BC14" s="3" t="s">
        <v>62</v>
      </c>
      <c r="BD14" s="3" t="s">
        <v>41</v>
      </c>
      <c r="BE14" s="4">
        <v>0</v>
      </c>
      <c r="BF14" s="4">
        <v>0</v>
      </c>
      <c r="BG14" s="9">
        <f t="shared" si="11"/>
        <v>0</v>
      </c>
      <c r="BH14" s="4"/>
      <c r="BI14" s="4" t="s">
        <v>42</v>
      </c>
      <c r="BJ14" s="3">
        <v>0.13793103448275901</v>
      </c>
      <c r="BK14" s="3">
        <v>0.34783923802698202</v>
      </c>
      <c r="BL14" s="3">
        <f t="shared" si="12"/>
        <v>0</v>
      </c>
      <c r="BM14" s="3"/>
      <c r="BN14" s="3" t="s">
        <v>41</v>
      </c>
      <c r="BO14" s="2" t="s">
        <v>45</v>
      </c>
    </row>
    <row r="15" spans="1:67" ht="24.85" customHeight="1" x14ac:dyDescent="0.45">
      <c r="A15" s="2">
        <v>14</v>
      </c>
      <c r="B15" s="3">
        <v>-8.4550874823529396E-2</v>
      </c>
      <c r="C15" s="3">
        <v>0.513298742754419</v>
      </c>
      <c r="D15" s="3">
        <f t="shared" si="0"/>
        <v>0</v>
      </c>
      <c r="E15" s="3"/>
      <c r="F15" s="3" t="s">
        <v>42</v>
      </c>
      <c r="G15" s="4">
        <v>8.6745537964705896E-2</v>
      </c>
      <c r="H15" s="4">
        <v>0.344259834860486</v>
      </c>
      <c r="I15" s="4">
        <f t="shared" si="1"/>
        <v>1</v>
      </c>
      <c r="J15" s="4" t="s">
        <v>49</v>
      </c>
      <c r="K15" s="4" t="s">
        <v>42</v>
      </c>
      <c r="L15" s="3">
        <v>-1.07712453058824</v>
      </c>
      <c r="M15" s="3">
        <v>0.46251257051580302</v>
      </c>
      <c r="N15" s="3">
        <f t="shared" si="2"/>
        <v>0</v>
      </c>
      <c r="O15" s="3"/>
      <c r="P15" s="3" t="s">
        <v>43</v>
      </c>
      <c r="Q15" s="4">
        <v>-0.28349869831764701</v>
      </c>
      <c r="R15" s="4">
        <v>8.56283840505212E-2</v>
      </c>
      <c r="S15" s="4">
        <f t="shared" si="3"/>
        <v>0</v>
      </c>
      <c r="T15" s="4"/>
      <c r="U15" s="4" t="s">
        <v>43</v>
      </c>
      <c r="V15" s="3">
        <v>-0.35699985128235301</v>
      </c>
      <c r="W15" s="3">
        <v>0.33152978947682499</v>
      </c>
      <c r="X15" s="3">
        <f t="shared" si="4"/>
        <v>0</v>
      </c>
      <c r="Y15" s="3"/>
      <c r="Z15" s="3" t="s">
        <v>43</v>
      </c>
      <c r="AA15" s="4">
        <v>-0.23008066052941201</v>
      </c>
      <c r="AB15" s="4">
        <v>0.35779791731789701</v>
      </c>
      <c r="AC15" s="4">
        <f t="shared" si="5"/>
        <v>0</v>
      </c>
      <c r="AD15" s="4"/>
      <c r="AE15" s="4" t="s">
        <v>42</v>
      </c>
      <c r="AF15" s="3">
        <v>-0.71819065404705895</v>
      </c>
      <c r="AG15" s="3">
        <v>0.14485812693586</v>
      </c>
      <c r="AH15" s="3">
        <f t="shared" si="6"/>
        <v>0</v>
      </c>
      <c r="AI15" s="3"/>
      <c r="AJ15" s="3" t="s">
        <v>43</v>
      </c>
      <c r="AK15" s="4">
        <v>-0.405872049752941</v>
      </c>
      <c r="AL15" s="4">
        <v>0.36870619725780901</v>
      </c>
      <c r="AM15" s="4">
        <f t="shared" si="7"/>
        <v>0</v>
      </c>
      <c r="AN15" s="4"/>
      <c r="AO15" s="4" t="s">
        <v>43</v>
      </c>
      <c r="AP15" s="3">
        <v>0.27058823529411802</v>
      </c>
      <c r="AQ15" s="3">
        <v>0.44690031098129901</v>
      </c>
      <c r="AR15" s="3">
        <f t="shared" si="8"/>
        <v>1</v>
      </c>
      <c r="AS15" s="3" t="s">
        <v>58</v>
      </c>
      <c r="AT15" s="3" t="s">
        <v>41</v>
      </c>
      <c r="AU15" s="4">
        <v>0.14117647058823499</v>
      </c>
      <c r="AV15" s="4">
        <v>0.35027000389735402</v>
      </c>
      <c r="AW15" s="4">
        <f t="shared" si="9"/>
        <v>0</v>
      </c>
      <c r="AX15" s="4"/>
      <c r="AY15" s="4" t="s">
        <v>42</v>
      </c>
      <c r="AZ15" s="3">
        <v>0.57647058823529396</v>
      </c>
      <c r="BA15" s="3">
        <v>0.49705012174770802</v>
      </c>
      <c r="BB15" s="3">
        <f t="shared" si="10"/>
        <v>1</v>
      </c>
      <c r="BC15" s="3" t="s">
        <v>62</v>
      </c>
      <c r="BD15" s="3" t="s">
        <v>41</v>
      </c>
      <c r="BE15" s="4">
        <v>0</v>
      </c>
      <c r="BF15" s="4">
        <v>0</v>
      </c>
      <c r="BG15" s="9">
        <f t="shared" si="11"/>
        <v>0</v>
      </c>
      <c r="BH15" s="4"/>
      <c r="BI15" s="4" t="s">
        <v>42</v>
      </c>
      <c r="BJ15" s="3">
        <v>0.129411764705882</v>
      </c>
      <c r="BK15" s="3">
        <v>0.33764715642353099</v>
      </c>
      <c r="BL15" s="3">
        <f t="shared" si="12"/>
        <v>0</v>
      </c>
      <c r="BM15" s="3"/>
      <c r="BN15" s="3" t="s">
        <v>41</v>
      </c>
      <c r="BO15" s="2" t="s">
        <v>45</v>
      </c>
    </row>
    <row r="16" spans="1:67" ht="24.85" customHeight="1" x14ac:dyDescent="0.45">
      <c r="A16" s="2">
        <v>15</v>
      </c>
      <c r="B16" s="3">
        <v>-5.64369123898305E-2</v>
      </c>
      <c r="C16" s="3">
        <v>0.516570610504409</v>
      </c>
      <c r="D16" s="3">
        <f t="shared" si="0"/>
        <v>0</v>
      </c>
      <c r="E16" s="3"/>
      <c r="F16" s="3" t="s">
        <v>42</v>
      </c>
      <c r="G16" s="4">
        <v>-0.55607747715254197</v>
      </c>
      <c r="H16" s="4">
        <v>0.30057659871537801</v>
      </c>
      <c r="I16" s="4">
        <f t="shared" si="1"/>
        <v>0</v>
      </c>
      <c r="J16" s="4"/>
      <c r="K16" s="4" t="s">
        <v>43</v>
      </c>
      <c r="L16" s="3">
        <v>-0.13886027740678</v>
      </c>
      <c r="M16" s="3">
        <v>0.45401754361938701</v>
      </c>
      <c r="N16" s="3">
        <f t="shared" si="2"/>
        <v>0</v>
      </c>
      <c r="O16" s="3"/>
      <c r="P16" s="3" t="s">
        <v>43</v>
      </c>
      <c r="Q16" s="4">
        <v>-5.8680939847457599E-2</v>
      </c>
      <c r="R16" s="4">
        <v>0.192088986416518</v>
      </c>
      <c r="S16" s="4">
        <f t="shared" si="3"/>
        <v>0</v>
      </c>
      <c r="T16" s="4"/>
      <c r="U16" s="4" t="s">
        <v>41</v>
      </c>
      <c r="V16" s="3">
        <v>-0.30706676813559303</v>
      </c>
      <c r="W16" s="3">
        <v>0.40821482551969102</v>
      </c>
      <c r="X16" s="3">
        <f t="shared" si="4"/>
        <v>0</v>
      </c>
      <c r="Y16" s="3"/>
      <c r="Z16" s="3" t="s">
        <v>42</v>
      </c>
      <c r="AA16" s="4">
        <v>-0.23994899525423699</v>
      </c>
      <c r="AB16" s="4">
        <v>0.30530556776037499</v>
      </c>
      <c r="AC16" s="4">
        <f t="shared" si="5"/>
        <v>0</v>
      </c>
      <c r="AD16" s="4"/>
      <c r="AE16" s="4" t="s">
        <v>42</v>
      </c>
      <c r="AF16" s="3">
        <v>-0.81387443937288095</v>
      </c>
      <c r="AG16" s="3">
        <v>9.8783893031379799E-2</v>
      </c>
      <c r="AH16" s="3">
        <f t="shared" si="6"/>
        <v>0</v>
      </c>
      <c r="AI16" s="3"/>
      <c r="AJ16" s="3" t="s">
        <v>43</v>
      </c>
      <c r="AK16" s="4">
        <v>-0.80373792503389796</v>
      </c>
      <c r="AL16" s="4">
        <v>0.106244893807901</v>
      </c>
      <c r="AM16" s="4">
        <f t="shared" si="7"/>
        <v>0</v>
      </c>
      <c r="AN16" s="4"/>
      <c r="AO16" s="4" t="s">
        <v>43</v>
      </c>
      <c r="AP16" s="3">
        <v>1.6949152542372899E-2</v>
      </c>
      <c r="AQ16" s="3">
        <v>0.130188910980824</v>
      </c>
      <c r="AR16" s="3">
        <f t="shared" si="8"/>
        <v>0</v>
      </c>
      <c r="AS16" s="3"/>
      <c r="AT16" s="3" t="s">
        <v>41</v>
      </c>
      <c r="AU16" s="4">
        <v>0.322033898305085</v>
      </c>
      <c r="AV16" s="4">
        <v>0.471266743637485</v>
      </c>
      <c r="AW16" s="4">
        <f t="shared" si="9"/>
        <v>0.5</v>
      </c>
      <c r="AX16" s="4" t="s">
        <v>60</v>
      </c>
      <c r="AY16" s="4" t="s">
        <v>42</v>
      </c>
      <c r="AZ16" s="3">
        <v>0.13559322033898299</v>
      </c>
      <c r="BA16" s="3">
        <v>0.34529483247299603</v>
      </c>
      <c r="BB16" s="3">
        <f t="shared" si="10"/>
        <v>0</v>
      </c>
      <c r="BC16" s="3"/>
      <c r="BD16" s="3" t="s">
        <v>41</v>
      </c>
      <c r="BE16" s="4">
        <v>0</v>
      </c>
      <c r="BF16" s="4">
        <v>0</v>
      </c>
      <c r="BG16" s="9">
        <f t="shared" si="11"/>
        <v>0</v>
      </c>
      <c r="BH16" s="4"/>
      <c r="BI16" s="4" t="s">
        <v>42</v>
      </c>
      <c r="BJ16" s="3">
        <v>1</v>
      </c>
      <c r="BK16" s="3">
        <v>0</v>
      </c>
      <c r="BL16" s="3">
        <f t="shared" si="12"/>
        <v>1</v>
      </c>
      <c r="BM16" s="3" t="s">
        <v>65</v>
      </c>
      <c r="BN16" s="3" t="s">
        <v>41</v>
      </c>
      <c r="BO16" s="2" t="s">
        <v>45</v>
      </c>
    </row>
    <row r="17" spans="1:67" ht="24.75" customHeight="1" x14ac:dyDescent="0.45">
      <c r="A17" s="9">
        <v>16</v>
      </c>
      <c r="B17" s="9">
        <v>0.59492223107499997</v>
      </c>
      <c r="C17" s="9">
        <v>0.58607583177946898</v>
      </c>
      <c r="D17" s="9">
        <f t="shared" si="0"/>
        <v>1</v>
      </c>
      <c r="E17" s="9" t="s">
        <v>47</v>
      </c>
      <c r="F17" s="9" t="s">
        <v>41</v>
      </c>
      <c r="G17" s="9">
        <v>1.3640244118625</v>
      </c>
      <c r="H17" s="9">
        <v>0.37135588899408201</v>
      </c>
      <c r="I17" s="9">
        <f t="shared" si="1"/>
        <v>1</v>
      </c>
      <c r="J17" s="9" t="s">
        <v>49</v>
      </c>
      <c r="K17" s="9" t="s">
        <v>41</v>
      </c>
      <c r="L17" s="9">
        <v>-0.38401603786249999</v>
      </c>
      <c r="M17" s="9">
        <v>0.32136956410768402</v>
      </c>
      <c r="N17" s="9">
        <f t="shared" si="2"/>
        <v>0</v>
      </c>
      <c r="O17" s="9"/>
      <c r="P17" s="9" t="s">
        <v>43</v>
      </c>
      <c r="Q17" s="9">
        <v>-0.20339998277499999</v>
      </c>
      <c r="R17" s="9">
        <v>0.154081829566733</v>
      </c>
      <c r="S17" s="9">
        <f t="shared" si="3"/>
        <v>0</v>
      </c>
      <c r="T17" s="9"/>
      <c r="U17" s="9" t="s">
        <v>42</v>
      </c>
      <c r="V17" s="9">
        <v>0.64354028207500003</v>
      </c>
      <c r="W17" s="9">
        <v>0.594543604809181</v>
      </c>
      <c r="X17" s="3">
        <f t="shared" si="4"/>
        <v>1</v>
      </c>
      <c r="Y17" s="9" t="s">
        <v>52</v>
      </c>
      <c r="Z17" s="9" t="s">
        <v>41</v>
      </c>
      <c r="AA17" s="9">
        <v>-0.25499012911250002</v>
      </c>
      <c r="AB17" s="9">
        <v>0.17521971267175401</v>
      </c>
      <c r="AC17" s="4">
        <f t="shared" si="5"/>
        <v>0</v>
      </c>
      <c r="AD17" s="9"/>
      <c r="AE17" s="9" t="s">
        <v>42</v>
      </c>
      <c r="AF17" s="9">
        <v>6.0180356937500103E-2</v>
      </c>
      <c r="AG17" s="9">
        <v>0.24425115712460599</v>
      </c>
      <c r="AH17" s="3">
        <f t="shared" si="6"/>
        <v>0</v>
      </c>
      <c r="AI17" s="9"/>
      <c r="AJ17" s="9" t="s">
        <v>42</v>
      </c>
      <c r="AK17" s="9">
        <v>1.3141802396625</v>
      </c>
      <c r="AL17" s="9">
        <v>0.39793760491111502</v>
      </c>
      <c r="AM17" s="4">
        <f t="shared" si="7"/>
        <v>1</v>
      </c>
      <c r="AN17" s="9" t="s">
        <v>57</v>
      </c>
      <c r="AO17" s="9" t="s">
        <v>41</v>
      </c>
      <c r="AP17" s="9">
        <v>0.7</v>
      </c>
      <c r="AQ17" s="9">
        <v>0.46114881312663197</v>
      </c>
      <c r="AR17" s="3">
        <f t="shared" si="8"/>
        <v>1</v>
      </c>
      <c r="AS17" s="9" t="s">
        <v>58</v>
      </c>
      <c r="AT17" s="9" t="s">
        <v>41</v>
      </c>
      <c r="AU17" s="9">
        <v>0.5625</v>
      </c>
      <c r="AV17" s="9">
        <v>0.49920823386588298</v>
      </c>
      <c r="AW17" s="4">
        <f t="shared" si="9"/>
        <v>1</v>
      </c>
      <c r="AX17" s="9" t="s">
        <v>61</v>
      </c>
      <c r="AY17" s="9" t="s">
        <v>42</v>
      </c>
      <c r="AZ17" s="9">
        <v>0</v>
      </c>
      <c r="BA17" s="9">
        <v>0</v>
      </c>
      <c r="BB17" s="3">
        <f t="shared" si="10"/>
        <v>0</v>
      </c>
      <c r="BC17" s="9"/>
      <c r="BD17" s="9" t="s">
        <v>42</v>
      </c>
      <c r="BE17" s="9">
        <v>0</v>
      </c>
      <c r="BF17" s="9">
        <v>0</v>
      </c>
      <c r="BG17" s="9">
        <f t="shared" si="11"/>
        <v>0</v>
      </c>
      <c r="BH17" s="9"/>
      <c r="BI17" s="9" t="s">
        <v>42</v>
      </c>
      <c r="BJ17" s="9">
        <v>0</v>
      </c>
      <c r="BK17" s="9">
        <v>0</v>
      </c>
      <c r="BL17" s="3">
        <f t="shared" si="12"/>
        <v>0</v>
      </c>
      <c r="BM17" s="9"/>
      <c r="BN17" s="9" t="s">
        <v>42</v>
      </c>
      <c r="BO17" s="9" t="s">
        <v>45</v>
      </c>
    </row>
    <row r="18" spans="1:67" ht="24.85" customHeight="1" x14ac:dyDescent="0.45">
      <c r="A18" s="2">
        <v>17</v>
      </c>
      <c r="B18" s="3">
        <v>0.20503141781481499</v>
      </c>
      <c r="C18" s="3">
        <v>1.1600667644432701</v>
      </c>
      <c r="D18" s="3">
        <f t="shared" si="0"/>
        <v>0</v>
      </c>
      <c r="E18" s="3"/>
      <c r="F18" s="3" t="s">
        <v>41</v>
      </c>
      <c r="G18" s="4">
        <v>-0.50231033788888901</v>
      </c>
      <c r="H18" s="4">
        <v>0.45758673202175199</v>
      </c>
      <c r="I18" s="4">
        <f t="shared" si="1"/>
        <v>0</v>
      </c>
      <c r="J18" s="4"/>
      <c r="K18" s="4" t="s">
        <v>43</v>
      </c>
      <c r="L18" s="3">
        <v>0.92684765851851802</v>
      </c>
      <c r="M18" s="3">
        <v>0.20549209771434501</v>
      </c>
      <c r="N18" s="3">
        <f t="shared" si="2"/>
        <v>1</v>
      </c>
      <c r="O18" s="3" t="s">
        <v>50</v>
      </c>
      <c r="P18" s="3" t="s">
        <v>41</v>
      </c>
      <c r="Q18" s="4">
        <v>-0.14911584755555601</v>
      </c>
      <c r="R18" s="4">
        <v>0.13335963742547999</v>
      </c>
      <c r="S18" s="4">
        <f t="shared" si="3"/>
        <v>0</v>
      </c>
      <c r="T18" s="4"/>
      <c r="U18" s="4" t="s">
        <v>42</v>
      </c>
      <c r="V18" s="3">
        <v>-5.0885112481481497E-2</v>
      </c>
      <c r="W18" s="3">
        <v>0.54108326186895195</v>
      </c>
      <c r="X18" s="3">
        <f t="shared" si="4"/>
        <v>0</v>
      </c>
      <c r="Y18" s="3"/>
      <c r="Z18" s="3" t="s">
        <v>42</v>
      </c>
      <c r="AA18" s="4">
        <v>3.1749628556666698</v>
      </c>
      <c r="AB18" s="4">
        <v>0.80303106687812198</v>
      </c>
      <c r="AC18" s="4">
        <f t="shared" si="5"/>
        <v>1</v>
      </c>
      <c r="AD18" s="4" t="s">
        <v>53</v>
      </c>
      <c r="AE18" s="4" t="s">
        <v>41</v>
      </c>
      <c r="AF18" s="3">
        <v>0.807191233148148</v>
      </c>
      <c r="AG18" s="3">
        <v>0.93681861315882398</v>
      </c>
      <c r="AH18" s="3">
        <f t="shared" si="6"/>
        <v>1</v>
      </c>
      <c r="AI18" s="3" t="s">
        <v>55</v>
      </c>
      <c r="AJ18" s="3" t="s">
        <v>41</v>
      </c>
      <c r="AK18" s="4">
        <v>-0.27863636562963001</v>
      </c>
      <c r="AL18" s="4">
        <v>0.26520227037397698</v>
      </c>
      <c r="AM18" s="4">
        <f t="shared" si="7"/>
        <v>0</v>
      </c>
      <c r="AN18" s="4"/>
      <c r="AO18" s="4" t="s">
        <v>43</v>
      </c>
      <c r="AP18" s="3">
        <v>3.7037037037037E-2</v>
      </c>
      <c r="AQ18" s="3">
        <v>0.19245008972987501</v>
      </c>
      <c r="AR18" s="3">
        <f t="shared" si="8"/>
        <v>0</v>
      </c>
      <c r="AS18" s="3"/>
      <c r="AT18" s="3" t="s">
        <v>41</v>
      </c>
      <c r="AU18" s="4">
        <v>0.22222222222222199</v>
      </c>
      <c r="AV18" s="4">
        <v>0.42365927286816202</v>
      </c>
      <c r="AW18" s="4">
        <f t="shared" si="9"/>
        <v>0</v>
      </c>
      <c r="AX18" s="4"/>
      <c r="AY18" s="4" t="s">
        <v>42</v>
      </c>
      <c r="AZ18" s="3">
        <v>0.22222222222222199</v>
      </c>
      <c r="BA18" s="3">
        <v>0.42365927286816202</v>
      </c>
      <c r="BB18" s="3">
        <f t="shared" si="10"/>
        <v>1</v>
      </c>
      <c r="BC18" s="3" t="s">
        <v>62</v>
      </c>
      <c r="BD18" s="3" t="s">
        <v>41</v>
      </c>
      <c r="BE18" s="4">
        <v>0</v>
      </c>
      <c r="BF18" s="4">
        <v>0</v>
      </c>
      <c r="BG18" s="9">
        <f t="shared" si="11"/>
        <v>0</v>
      </c>
      <c r="BH18" s="4"/>
      <c r="BI18" s="4" t="s">
        <v>42</v>
      </c>
      <c r="BJ18" s="3">
        <v>0.148148148148148</v>
      </c>
      <c r="BK18" s="3">
        <v>0.36201399289824598</v>
      </c>
      <c r="BL18" s="3">
        <f t="shared" si="12"/>
        <v>0</v>
      </c>
      <c r="BM18" s="3"/>
      <c r="BN18" s="3" t="s">
        <v>41</v>
      </c>
      <c r="BO18" s="2" t="s">
        <v>44</v>
      </c>
    </row>
    <row r="19" spans="1:67" ht="24.85" customHeight="1" x14ac:dyDescent="0.45">
      <c r="A19" s="2">
        <v>18</v>
      </c>
      <c r="B19" s="3">
        <v>-0.2088003293</v>
      </c>
      <c r="C19" s="3">
        <v>0.30748633846451501</v>
      </c>
      <c r="D19" s="3">
        <f t="shared" si="0"/>
        <v>0</v>
      </c>
      <c r="E19" s="3"/>
      <c r="F19" s="3" t="s">
        <v>42</v>
      </c>
      <c r="G19" s="4">
        <v>-0.48586306358333298</v>
      </c>
      <c r="H19" s="4">
        <v>0.424579859959346</v>
      </c>
      <c r="I19" s="4">
        <f t="shared" si="1"/>
        <v>0</v>
      </c>
      <c r="J19" s="4"/>
      <c r="K19" s="4" t="s">
        <v>43</v>
      </c>
      <c r="L19" s="3">
        <v>1.01983628705</v>
      </c>
      <c r="M19" s="3">
        <v>0.17857141159642201</v>
      </c>
      <c r="N19" s="3">
        <f t="shared" si="2"/>
        <v>1</v>
      </c>
      <c r="O19" s="3" t="s">
        <v>50</v>
      </c>
      <c r="P19" s="3" t="s">
        <v>41</v>
      </c>
      <c r="Q19" s="4">
        <v>-0.12653605261666701</v>
      </c>
      <c r="R19" s="4">
        <v>0.11080179499343901</v>
      </c>
      <c r="S19" s="4">
        <f t="shared" si="3"/>
        <v>0</v>
      </c>
      <c r="T19" s="4"/>
      <c r="U19" s="4" t="s">
        <v>42</v>
      </c>
      <c r="V19" s="3">
        <v>-7.4637483066666704E-2</v>
      </c>
      <c r="W19" s="3">
        <v>0.428309386546048</v>
      </c>
      <c r="X19" s="3">
        <f t="shared" si="4"/>
        <v>0</v>
      </c>
      <c r="Y19" s="3"/>
      <c r="Z19" s="3" t="s">
        <v>42</v>
      </c>
      <c r="AA19" s="4">
        <v>1.5030297099999999E-2</v>
      </c>
      <c r="AB19" s="4">
        <v>0.57041843595698805</v>
      </c>
      <c r="AC19" s="4">
        <f t="shared" si="5"/>
        <v>0</v>
      </c>
      <c r="AD19" s="4"/>
      <c r="AE19" s="4" t="s">
        <v>41</v>
      </c>
      <c r="AF19" s="3">
        <v>0.48220424586666699</v>
      </c>
      <c r="AG19" s="3">
        <v>0.38303875444188201</v>
      </c>
      <c r="AH19" s="3">
        <f t="shared" si="6"/>
        <v>1</v>
      </c>
      <c r="AI19" s="3" t="s">
        <v>55</v>
      </c>
      <c r="AJ19" s="3" t="s">
        <v>41</v>
      </c>
      <c r="AK19" s="4">
        <v>-0.23128199653333301</v>
      </c>
      <c r="AL19" s="4">
        <v>0.22315118701555001</v>
      </c>
      <c r="AM19" s="4">
        <f t="shared" si="7"/>
        <v>0</v>
      </c>
      <c r="AN19" s="4"/>
      <c r="AO19" s="4" t="s">
        <v>42</v>
      </c>
      <c r="AP19" s="3">
        <v>3.3333333333333298E-2</v>
      </c>
      <c r="AQ19" s="3">
        <v>0.18102033471939299</v>
      </c>
      <c r="AR19" s="3">
        <f t="shared" si="8"/>
        <v>0</v>
      </c>
      <c r="AS19" s="3"/>
      <c r="AT19" s="3" t="s">
        <v>41</v>
      </c>
      <c r="AU19" s="4">
        <v>0.98333333333333295</v>
      </c>
      <c r="AV19" s="4">
        <v>0.12909944487358099</v>
      </c>
      <c r="AW19" s="4">
        <f t="shared" si="9"/>
        <v>1</v>
      </c>
      <c r="AX19" s="4" t="s">
        <v>61</v>
      </c>
      <c r="AY19" s="4" t="s">
        <v>42</v>
      </c>
      <c r="AZ19" s="3">
        <v>1.6666666666666701E-2</v>
      </c>
      <c r="BA19" s="3">
        <v>0.12909944487358099</v>
      </c>
      <c r="BB19" s="3">
        <f t="shared" si="10"/>
        <v>0</v>
      </c>
      <c r="BC19" s="3"/>
      <c r="BD19" s="3" t="s">
        <v>41</v>
      </c>
      <c r="BE19" s="4">
        <v>0</v>
      </c>
      <c r="BF19" s="4">
        <v>0</v>
      </c>
      <c r="BG19" s="9">
        <f t="shared" si="11"/>
        <v>0</v>
      </c>
      <c r="BH19" s="4"/>
      <c r="BI19" s="4" t="s">
        <v>42</v>
      </c>
      <c r="BJ19" s="3">
        <v>6.6666666666666693E-2</v>
      </c>
      <c r="BK19" s="3">
        <v>0.25154887429323203</v>
      </c>
      <c r="BL19" s="3">
        <f t="shared" si="12"/>
        <v>0</v>
      </c>
      <c r="BM19" s="3"/>
      <c r="BN19" s="3" t="s">
        <v>41</v>
      </c>
      <c r="BO19" s="2" t="s">
        <v>45</v>
      </c>
    </row>
    <row r="20" spans="1:67" ht="24.85" customHeight="1" x14ac:dyDescent="0.45">
      <c r="A20" s="2">
        <v>19</v>
      </c>
      <c r="B20" s="3">
        <v>0.20993881595238101</v>
      </c>
      <c r="C20" s="3">
        <v>1.7729200269491201</v>
      </c>
      <c r="D20" s="3">
        <f t="shared" si="0"/>
        <v>0</v>
      </c>
      <c r="E20" s="3"/>
      <c r="F20" s="3" t="s">
        <v>41</v>
      </c>
      <c r="G20" s="4">
        <v>-0.52027783119047599</v>
      </c>
      <c r="H20" s="4">
        <v>0.57661794552516299</v>
      </c>
      <c r="I20" s="4">
        <f t="shared" si="1"/>
        <v>0</v>
      </c>
      <c r="J20" s="4"/>
      <c r="K20" s="4" t="s">
        <v>43</v>
      </c>
      <c r="L20" s="3">
        <v>0.93860246742857101</v>
      </c>
      <c r="M20" s="3">
        <v>0.38767577706471301</v>
      </c>
      <c r="N20" s="3">
        <f t="shared" si="2"/>
        <v>1</v>
      </c>
      <c r="O20" s="3" t="s">
        <v>50</v>
      </c>
      <c r="P20" s="3" t="s">
        <v>41</v>
      </c>
      <c r="Q20" s="4">
        <v>-0.16072509119047601</v>
      </c>
      <c r="R20" s="4">
        <v>0.209781293798109</v>
      </c>
      <c r="S20" s="4">
        <f t="shared" si="3"/>
        <v>0</v>
      </c>
      <c r="T20" s="4"/>
      <c r="U20" s="4" t="s">
        <v>42</v>
      </c>
      <c r="V20" s="3">
        <v>-3.5451102857142897E-2</v>
      </c>
      <c r="W20" s="3">
        <v>1.0163399420204</v>
      </c>
      <c r="X20" s="3">
        <f t="shared" si="4"/>
        <v>0</v>
      </c>
      <c r="Y20" s="3"/>
      <c r="Z20" s="3" t="s">
        <v>42</v>
      </c>
      <c r="AA20" s="4">
        <v>6.3590361408095202</v>
      </c>
      <c r="AB20" s="4">
        <v>1.6001842139787099</v>
      </c>
      <c r="AC20" s="4">
        <f t="shared" si="5"/>
        <v>1</v>
      </c>
      <c r="AD20" s="4" t="s">
        <v>53</v>
      </c>
      <c r="AE20" s="4" t="s">
        <v>41</v>
      </c>
      <c r="AF20" s="3">
        <v>0.93099920857142904</v>
      </c>
      <c r="AG20" s="3">
        <v>0.85672334738471001</v>
      </c>
      <c r="AH20" s="3">
        <f t="shared" si="6"/>
        <v>1</v>
      </c>
      <c r="AI20" s="3" t="s">
        <v>55</v>
      </c>
      <c r="AJ20" s="3" t="s">
        <v>41</v>
      </c>
      <c r="AK20" s="4">
        <v>-0.337946128095238</v>
      </c>
      <c r="AL20" s="4">
        <v>0.32383611791425898</v>
      </c>
      <c r="AM20" s="4">
        <f t="shared" si="7"/>
        <v>0</v>
      </c>
      <c r="AN20" s="4"/>
      <c r="AO20" s="4" t="s">
        <v>43</v>
      </c>
      <c r="AP20" s="3">
        <v>4.7619047619047603E-2</v>
      </c>
      <c r="AQ20" s="3">
        <v>0.218217890235992</v>
      </c>
      <c r="AR20" s="3">
        <f t="shared" si="8"/>
        <v>0</v>
      </c>
      <c r="AS20" s="3"/>
      <c r="AT20" s="3" t="s">
        <v>41</v>
      </c>
      <c r="AU20" s="4">
        <v>0.19047619047618999</v>
      </c>
      <c r="AV20" s="4">
        <v>0.40237390808147799</v>
      </c>
      <c r="AW20" s="4">
        <f t="shared" si="9"/>
        <v>0</v>
      </c>
      <c r="AX20" s="4"/>
      <c r="AY20" s="4" t="s">
        <v>42</v>
      </c>
      <c r="AZ20" s="3">
        <v>0</v>
      </c>
      <c r="BA20" s="3">
        <v>0</v>
      </c>
      <c r="BB20" s="3">
        <f t="shared" si="10"/>
        <v>0</v>
      </c>
      <c r="BC20" s="3"/>
      <c r="BD20" s="3" t="s">
        <v>42</v>
      </c>
      <c r="BE20" s="4">
        <v>0</v>
      </c>
      <c r="BF20" s="4">
        <v>0</v>
      </c>
      <c r="BG20" s="9">
        <f t="shared" si="11"/>
        <v>0</v>
      </c>
      <c r="BH20" s="4"/>
      <c r="BI20" s="4" t="s">
        <v>42</v>
      </c>
      <c r="BJ20" s="3">
        <v>0.238095238095238</v>
      </c>
      <c r="BK20" s="3">
        <v>0.436435780471985</v>
      </c>
      <c r="BL20" s="3">
        <f t="shared" si="12"/>
        <v>0</v>
      </c>
      <c r="BM20" s="3"/>
      <c r="BN20" s="3" t="s">
        <v>41</v>
      </c>
      <c r="BO20" s="2" t="s">
        <v>44</v>
      </c>
    </row>
    <row r="21" spans="1:67" ht="24.85" customHeight="1" x14ac:dyDescent="0.45">
      <c r="A21" s="2">
        <v>20</v>
      </c>
      <c r="B21" s="3">
        <v>-0.135305807305556</v>
      </c>
      <c r="C21" s="3">
        <v>0.35558560197410399</v>
      </c>
      <c r="D21" s="3">
        <f t="shared" si="0"/>
        <v>0</v>
      </c>
      <c r="E21" s="3"/>
      <c r="F21" s="3" t="s">
        <v>42</v>
      </c>
      <c r="G21" s="4">
        <v>0.87773611699999998</v>
      </c>
      <c r="H21" s="4">
        <v>0.257401457790777</v>
      </c>
      <c r="I21" s="4">
        <f t="shared" si="1"/>
        <v>1</v>
      </c>
      <c r="J21" s="4" t="s">
        <v>49</v>
      </c>
      <c r="K21" s="4" t="s">
        <v>42</v>
      </c>
      <c r="L21" s="3">
        <v>-0.26529260199999999</v>
      </c>
      <c r="M21" s="3">
        <v>0.44623728052151801</v>
      </c>
      <c r="N21" s="3">
        <f t="shared" si="2"/>
        <v>0</v>
      </c>
      <c r="O21" s="3"/>
      <c r="P21" s="3" t="s">
        <v>43</v>
      </c>
      <c r="Q21" s="4">
        <v>-0.28995744959722197</v>
      </c>
      <c r="R21" s="4">
        <v>2.90529191405734E-2</v>
      </c>
      <c r="S21" s="4">
        <f t="shared" si="3"/>
        <v>0</v>
      </c>
      <c r="T21" s="4"/>
      <c r="U21" s="4" t="s">
        <v>43</v>
      </c>
      <c r="V21" s="3">
        <v>-0.16658570945833301</v>
      </c>
      <c r="W21" s="3">
        <v>0.33661290566316798</v>
      </c>
      <c r="X21" s="3">
        <f t="shared" si="4"/>
        <v>0</v>
      </c>
      <c r="Y21" s="3"/>
      <c r="Z21" s="3" t="s">
        <v>42</v>
      </c>
      <c r="AA21" s="4">
        <v>-9.9718999124999999E-2</v>
      </c>
      <c r="AB21" s="4">
        <v>0.44619018481226302</v>
      </c>
      <c r="AC21" s="4">
        <f t="shared" si="5"/>
        <v>0</v>
      </c>
      <c r="AD21" s="4"/>
      <c r="AE21" s="4" t="s">
        <v>41</v>
      </c>
      <c r="AF21" s="3">
        <v>-6.4335681958333293E-2</v>
      </c>
      <c r="AG21" s="3">
        <v>0.213681130627527</v>
      </c>
      <c r="AH21" s="3">
        <f t="shared" si="6"/>
        <v>0</v>
      </c>
      <c r="AI21" s="3"/>
      <c r="AJ21" s="3" t="s">
        <v>42</v>
      </c>
      <c r="AK21" s="4">
        <v>0.66167525263888904</v>
      </c>
      <c r="AL21" s="4">
        <v>0.39900226721105703</v>
      </c>
      <c r="AM21" s="4">
        <f t="shared" si="7"/>
        <v>1</v>
      </c>
      <c r="AN21" s="4" t="s">
        <v>57</v>
      </c>
      <c r="AO21" s="4" t="s">
        <v>41</v>
      </c>
      <c r="AP21" s="3">
        <v>0.63888888888888895</v>
      </c>
      <c r="AQ21" s="3">
        <v>0.48369340643025099</v>
      </c>
      <c r="AR21" s="3">
        <f t="shared" si="8"/>
        <v>1</v>
      </c>
      <c r="AS21" s="3" t="s">
        <v>58</v>
      </c>
      <c r="AT21" s="3" t="s">
        <v>41</v>
      </c>
      <c r="AU21" s="4">
        <v>0.47222222222222199</v>
      </c>
      <c r="AV21" s="4">
        <v>0.50273119472249295</v>
      </c>
      <c r="AW21" s="4">
        <f t="shared" si="9"/>
        <v>1</v>
      </c>
      <c r="AX21" s="4" t="s">
        <v>61</v>
      </c>
      <c r="AY21" s="4" t="s">
        <v>42</v>
      </c>
      <c r="AZ21" s="3">
        <v>0.20833333333333301</v>
      </c>
      <c r="BA21" s="3">
        <v>0.40896640586576399</v>
      </c>
      <c r="BB21" s="3">
        <f t="shared" si="10"/>
        <v>0.5</v>
      </c>
      <c r="BC21" s="3" t="s">
        <v>63</v>
      </c>
      <c r="BD21" s="3" t="s">
        <v>41</v>
      </c>
      <c r="BE21" s="4">
        <v>0</v>
      </c>
      <c r="BF21" s="4">
        <v>0</v>
      </c>
      <c r="BG21" s="9">
        <f t="shared" si="11"/>
        <v>0</v>
      </c>
      <c r="BH21" s="4"/>
      <c r="BI21" s="4" t="s">
        <v>42</v>
      </c>
      <c r="BJ21" s="3">
        <v>2.7777777777777801E-2</v>
      </c>
      <c r="BK21" s="3">
        <v>0.16548879560577101</v>
      </c>
      <c r="BL21" s="3">
        <f t="shared" si="12"/>
        <v>0</v>
      </c>
      <c r="BM21" s="3"/>
      <c r="BN21" s="3" t="s">
        <v>41</v>
      </c>
      <c r="BO21" s="2" t="s">
        <v>45</v>
      </c>
    </row>
    <row r="22" spans="1:67" ht="24.85" customHeight="1" x14ac:dyDescent="0.45">
      <c r="A22" s="2"/>
      <c r="B22" s="2">
        <f>AVERAGE(B2:B21)</f>
        <v>0.3957671941038246</v>
      </c>
      <c r="C22" s="2">
        <f>SQRT(SUMSQ(C2:C21) )/ COUNT(C2:C21)</f>
        <v>0.18301710438321514</v>
      </c>
      <c r="D22" s="2"/>
      <c r="E22" s="2"/>
      <c r="F22" s="2"/>
      <c r="G22" s="2">
        <f>AVERAGE(G2:G21)</f>
        <v>-5.3574221283899728E-2</v>
      </c>
      <c r="H22" s="2">
        <f>SQRT(SUMSQ(H2:H21) )/ COUNT(H2:H21)</f>
        <v>9.9609693034650865E-2</v>
      </c>
      <c r="I22" s="2"/>
      <c r="J22" s="2"/>
      <c r="K22" s="2"/>
      <c r="L22" s="2">
        <f>AVERAGE(L2:L21)</f>
        <v>0.21617794887173392</v>
      </c>
      <c r="M22" s="2">
        <f>SQRT(SUMSQ(M2:M21) )/ COUNT(M2:M21)</f>
        <v>9.6798164622223362E-2</v>
      </c>
      <c r="N22" s="2"/>
      <c r="O22" s="2"/>
      <c r="P22" s="2"/>
      <c r="Q22" s="2">
        <f>AVERAGE(Q2:Q21)</f>
        <v>0.34831035212639894</v>
      </c>
      <c r="R22" s="2">
        <f>SQRT(SUMSQ(R2:R21) )/ COUNT(R2:R21)</f>
        <v>6.5165298231347576E-2</v>
      </c>
      <c r="S22" s="2"/>
      <c r="T22" s="2"/>
      <c r="U22" s="2"/>
      <c r="V22" s="2">
        <f>AVERAGE(V2:V21)</f>
        <v>0.1916821516342801</v>
      </c>
      <c r="W22" s="2">
        <f>SQRT(SUMSQ(W2:W21) )/ COUNT(W2:W21)</f>
        <v>0.14269542113964181</v>
      </c>
      <c r="X22" s="2"/>
      <c r="Y22" s="2"/>
      <c r="Z22" s="2"/>
      <c r="AA22" s="2">
        <f>AVERAGE(AA2:AA21)</f>
        <v>0.50959803876680154</v>
      </c>
      <c r="AB22" s="2">
        <f>SQRT(SUMSQ(AB2:AB21) )/ COUNT(AB2:AB21)</f>
        <v>0.14915420359151429</v>
      </c>
      <c r="AC22" s="2"/>
      <c r="AD22" s="2"/>
      <c r="AE22" s="2"/>
      <c r="AF22" s="2">
        <f>AVERAGE(AF2:AF21)</f>
        <v>6.0325431196229941E-2</v>
      </c>
      <c r="AG22" s="2">
        <f>SQRT(SUMSQ(AG2:AG21) )/ COUNT(AG2:AG21)</f>
        <v>9.481433922929336E-2</v>
      </c>
      <c r="AH22" s="2"/>
      <c r="AI22" s="2"/>
      <c r="AJ22" s="2"/>
      <c r="AK22" s="2">
        <f>AVERAGE(AK2:AK21)</f>
        <v>-6.7400567021618743E-2</v>
      </c>
      <c r="AL22" s="2">
        <f>SQRT(SUMSQ(AL2:AL21) )/ COUNT(AL2:AL21)</f>
        <v>8.1571828770351296E-2</v>
      </c>
      <c r="AM22" s="2"/>
      <c r="AN22" s="2"/>
      <c r="AO22" s="2"/>
      <c r="AP22" s="2">
        <f>AVERAGE(AP2:AP21)</f>
        <v>0.15029398534895677</v>
      </c>
      <c r="AQ22" s="2">
        <f>SQRT(SUMSQ(AQ2:AQ21) )/ COUNT(AQ2:AQ21)</f>
        <v>6.605907774475539E-2</v>
      </c>
      <c r="AR22" s="2"/>
      <c r="AS22" s="2"/>
      <c r="AT22" s="2"/>
      <c r="AU22" s="2">
        <f>AVERAGE(AU2:AU21)</f>
        <v>0.2718140010818193</v>
      </c>
      <c r="AV22" s="2">
        <f>SQRT(SUMSQ(AV2:AV21) )/ COUNT(AV2:AV21)</f>
        <v>7.3945462750553442E-2</v>
      </c>
      <c r="AW22" s="2"/>
      <c r="AX22" s="2"/>
      <c r="AY22" s="2"/>
      <c r="AZ22" s="2">
        <f>AVERAGE(AZ2:AZ21)</f>
        <v>0.16290998174341481</v>
      </c>
      <c r="BA22" s="2">
        <f>SQRT(SUMSQ(BA2:BA21) )/ COUNT(BA2:BA21)</f>
        <v>5.9051186099226438E-2</v>
      </c>
      <c r="BB22" s="2"/>
      <c r="BC22" s="2"/>
      <c r="BD22" s="2"/>
      <c r="BE22" s="2">
        <f>AVERAGE(BE2:BE21)</f>
        <v>5.0000000000000001E-3</v>
      </c>
      <c r="BF22" s="2">
        <f>SQRT(SUMSQ(BF2:BF21) )/ COUNT(BF2:BF21)</f>
        <v>1.5191090506255001E-2</v>
      </c>
      <c r="BG22" s="2"/>
      <c r="BH22" s="2"/>
      <c r="BI22" s="2"/>
      <c r="BJ22" s="2">
        <f>AVERAGE(BJ2:BJ21)</f>
        <v>0.22238764260493465</v>
      </c>
      <c r="BK22" s="2">
        <f>SQRT(SUMSQ(BK2:BK21) )/ COUNT(BK2:BK21)</f>
        <v>5.5535410563408605E-2</v>
      </c>
      <c r="BL22" s="2"/>
      <c r="BM22" s="2"/>
      <c r="BN22" s="2"/>
      <c r="BO22" s="2"/>
    </row>
    <row r="23" spans="1:67" ht="24.85" customHeight="1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7" spans="1:67" ht="33.85" customHeight="1" x14ac:dyDescent="0.45">
      <c r="A27" s="11" t="s">
        <v>0</v>
      </c>
      <c r="B27" s="11" t="s">
        <v>47</v>
      </c>
      <c r="C27" s="11" t="s">
        <v>49</v>
      </c>
      <c r="D27" s="11" t="s">
        <v>50</v>
      </c>
      <c r="E27" s="11" t="s">
        <v>51</v>
      </c>
      <c r="F27" s="11" t="s">
        <v>52</v>
      </c>
      <c r="G27" s="11" t="s">
        <v>53</v>
      </c>
      <c r="H27" s="11" t="s">
        <v>55</v>
      </c>
      <c r="I27" s="11" t="s">
        <v>57</v>
      </c>
      <c r="J27" s="11" t="s">
        <v>58</v>
      </c>
      <c r="K27" s="11" t="s">
        <v>61</v>
      </c>
      <c r="L27" s="11" t="s">
        <v>62</v>
      </c>
      <c r="M27" s="11" t="s">
        <v>64</v>
      </c>
      <c r="N27" s="11" t="s">
        <v>65</v>
      </c>
      <c r="O27" s="1" t="s">
        <v>67</v>
      </c>
      <c r="P27" s="10" t="s">
        <v>66</v>
      </c>
    </row>
    <row r="28" spans="1:67" ht="33.85" customHeight="1" x14ac:dyDescent="0.45">
      <c r="A28" s="12">
        <v>2</v>
      </c>
      <c r="B28" s="13" t="s">
        <v>47</v>
      </c>
      <c r="C28" s="13" t="s">
        <v>49</v>
      </c>
      <c r="D28" s="2" t="s">
        <v>43</v>
      </c>
      <c r="E28" s="2" t="s">
        <v>42</v>
      </c>
      <c r="F28" s="2" t="s">
        <v>42</v>
      </c>
      <c r="G28" s="2" t="s">
        <v>42</v>
      </c>
      <c r="H28" s="2" t="s">
        <v>43</v>
      </c>
      <c r="I28" s="13" t="s">
        <v>57</v>
      </c>
      <c r="J28" s="2" t="s">
        <v>41</v>
      </c>
      <c r="K28" s="2" t="s">
        <v>42</v>
      </c>
      <c r="L28" s="2" t="s">
        <v>41</v>
      </c>
      <c r="M28" s="2" t="s">
        <v>42</v>
      </c>
      <c r="N28" s="2" t="s">
        <v>41</v>
      </c>
      <c r="O28" s="1">
        <v>3</v>
      </c>
      <c r="P28" s="1">
        <v>0.5</v>
      </c>
    </row>
    <row r="29" spans="1:67" ht="33.85" customHeight="1" x14ac:dyDescent="0.45">
      <c r="A29" s="12">
        <v>4</v>
      </c>
      <c r="B29" s="13" t="s">
        <v>47</v>
      </c>
      <c r="C29" s="13" t="s">
        <v>49</v>
      </c>
      <c r="D29" s="2" t="s">
        <v>43</v>
      </c>
      <c r="E29" s="2" t="s">
        <v>42</v>
      </c>
      <c r="F29" s="2" t="s">
        <v>42</v>
      </c>
      <c r="G29" s="2" t="s">
        <v>41</v>
      </c>
      <c r="H29" s="13" t="s">
        <v>56</v>
      </c>
      <c r="I29" s="13" t="s">
        <v>57</v>
      </c>
      <c r="J29" s="2" t="s">
        <v>41</v>
      </c>
      <c r="K29" s="2" t="s">
        <v>42</v>
      </c>
      <c r="L29" s="2" t="s">
        <v>42</v>
      </c>
      <c r="M29" s="2" t="s">
        <v>42</v>
      </c>
      <c r="N29" s="2" t="s">
        <v>42</v>
      </c>
      <c r="O29" s="1">
        <v>3.5</v>
      </c>
      <c r="P29" s="1">
        <v>1</v>
      </c>
    </row>
    <row r="30" spans="1:67" ht="33.85" customHeight="1" x14ac:dyDescent="0.45">
      <c r="A30" s="12">
        <v>16</v>
      </c>
      <c r="B30" s="13" t="s">
        <v>47</v>
      </c>
      <c r="C30" s="13" t="s">
        <v>49</v>
      </c>
      <c r="D30" s="2" t="s">
        <v>43</v>
      </c>
      <c r="E30" s="2" t="s">
        <v>42</v>
      </c>
      <c r="F30" s="13" t="s">
        <v>52</v>
      </c>
      <c r="G30" s="2" t="s">
        <v>42</v>
      </c>
      <c r="H30" s="2" t="s">
        <v>42</v>
      </c>
      <c r="I30" s="13" t="s">
        <v>57</v>
      </c>
      <c r="J30" s="13" t="s">
        <v>58</v>
      </c>
      <c r="K30" s="13" t="s">
        <v>61</v>
      </c>
      <c r="L30" s="2" t="s">
        <v>42</v>
      </c>
      <c r="M30" s="2" t="s">
        <v>42</v>
      </c>
      <c r="N30" s="2" t="s">
        <v>42</v>
      </c>
      <c r="O30" s="1">
        <v>6</v>
      </c>
      <c r="P30" s="1">
        <v>1</v>
      </c>
    </row>
  </sheetData>
  <conditionalFormatting sqref="D2:D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I2:I21">
    <cfRule type="colorScale" priority="12">
      <colorScale>
        <cfvo type="min"/>
        <cfvo type="max"/>
        <color rgb="FFFCFCFF"/>
        <color rgb="FFF8696B"/>
      </colorScale>
    </cfRule>
  </conditionalFormatting>
  <conditionalFormatting sqref="N2:N21">
    <cfRule type="colorScale" priority="11">
      <colorScale>
        <cfvo type="min"/>
        <cfvo type="max"/>
        <color rgb="FFFCFCFF"/>
        <color rgb="FFF8696B"/>
      </colorScale>
    </cfRule>
  </conditionalFormatting>
  <conditionalFormatting sqref="S2:S21">
    <cfRule type="colorScale" priority="10">
      <colorScale>
        <cfvo type="min"/>
        <cfvo type="max"/>
        <color rgb="FFFCFCFF"/>
        <color rgb="FFF8696B"/>
      </colorScale>
    </cfRule>
  </conditionalFormatting>
  <conditionalFormatting sqref="X2:X21">
    <cfRule type="colorScale" priority="9">
      <colorScale>
        <cfvo type="min"/>
        <cfvo type="max"/>
        <color rgb="FFFCFCFF"/>
        <color rgb="FFF8696B"/>
      </colorScale>
    </cfRule>
  </conditionalFormatting>
  <conditionalFormatting sqref="AC2:AC21">
    <cfRule type="colorScale" priority="8">
      <colorScale>
        <cfvo type="min"/>
        <cfvo type="max"/>
        <color rgb="FFFCFCFF"/>
        <color rgb="FFF8696B"/>
      </colorScale>
    </cfRule>
  </conditionalFormatting>
  <conditionalFormatting sqref="AH2:AH21">
    <cfRule type="colorScale" priority="7">
      <colorScale>
        <cfvo type="min"/>
        <cfvo type="max"/>
        <color rgb="FFFCFCFF"/>
        <color rgb="FFF8696B"/>
      </colorScale>
    </cfRule>
  </conditionalFormatting>
  <conditionalFormatting sqref="AM2:AM21">
    <cfRule type="colorScale" priority="6">
      <colorScale>
        <cfvo type="min"/>
        <cfvo type="max"/>
        <color rgb="FFFCFCFF"/>
        <color rgb="FFF8696B"/>
      </colorScale>
    </cfRule>
  </conditionalFormatting>
  <conditionalFormatting sqref="AR2:AR21">
    <cfRule type="colorScale" priority="5">
      <colorScale>
        <cfvo type="min"/>
        <cfvo type="max"/>
        <color rgb="FFFCFCFF"/>
        <color rgb="FFF8696B"/>
      </colorScale>
    </cfRule>
  </conditionalFormatting>
  <conditionalFormatting sqref="AW2:AW21">
    <cfRule type="colorScale" priority="4">
      <colorScale>
        <cfvo type="min"/>
        <cfvo type="max"/>
        <color rgb="FFFCFCFF"/>
        <color rgb="FFF8696B"/>
      </colorScale>
    </cfRule>
  </conditionalFormatting>
  <conditionalFormatting sqref="BB2:BB21">
    <cfRule type="colorScale" priority="3">
      <colorScale>
        <cfvo type="min"/>
        <cfvo type="max"/>
        <color rgb="FFFCFCFF"/>
        <color rgb="FFF8696B"/>
      </colorScale>
    </cfRule>
  </conditionalFormatting>
  <conditionalFormatting sqref="BG2:BG21">
    <cfRule type="colorScale" priority="2">
      <colorScale>
        <cfvo type="min"/>
        <cfvo type="max"/>
        <color rgb="FFFCFCFF"/>
        <color rgb="FFF8696B"/>
      </colorScale>
    </cfRule>
  </conditionalFormatting>
  <conditionalFormatting sqref="BL2:BL2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all_centroidi_annotated_20_2020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2025-11-21T15:19:19Z</dcterms:created>
  <dcterms:modified xsi:type="dcterms:W3CDTF">2025-11-26T10:58:59Z</dcterms:modified>
</cp:coreProperties>
</file>