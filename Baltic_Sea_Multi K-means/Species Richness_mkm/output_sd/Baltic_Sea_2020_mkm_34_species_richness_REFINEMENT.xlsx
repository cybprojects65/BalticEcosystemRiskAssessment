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o_Multi K-means\All species\output_sd\"/>
    </mc:Choice>
  </mc:AlternateContent>
  <xr:revisionPtr revIDLastSave="0" documentId="13_ncr:1_{1502C592-3298-4159-B31B-C436E211EF49}" xr6:coauthVersionLast="47" xr6:coauthVersionMax="47" xr10:uidLastSave="{00000000-0000-0000-0000-000000000000}"/>
  <bookViews>
    <workbookView xWindow="-38490" yWindow="-2350" windowWidth="38580" windowHeight="10530" xr2:uid="{00000000-000D-0000-FFFF-FFFF00000000}"/>
  </bookViews>
  <sheets>
    <sheet name="all_centroidi_annotated_34_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O42" i="1"/>
  <c r="O43" i="1"/>
  <c r="O44" i="1"/>
  <c r="O45" i="1"/>
  <c r="O46" i="1"/>
  <c r="O47" i="1"/>
  <c r="O48" i="1"/>
  <c r="O49" i="1"/>
  <c r="O50" i="1"/>
  <c r="O51" i="1"/>
  <c r="O52" i="1"/>
  <c r="O40" i="1"/>
  <c r="BK15" i="1"/>
  <c r="BF15" i="1"/>
  <c r="BA15" i="1"/>
  <c r="AV15" i="1"/>
  <c r="AQ15" i="1"/>
  <c r="AL15" i="1"/>
  <c r="AG15" i="1"/>
  <c r="AB15" i="1"/>
  <c r="W15" i="1"/>
  <c r="R15" i="1"/>
  <c r="M15" i="1"/>
  <c r="H15" i="1"/>
  <c r="I3" i="1" s="1"/>
  <c r="C15" i="1"/>
  <c r="BJ15" i="1"/>
  <c r="BL3" i="1" s="1"/>
  <c r="BE15" i="1"/>
  <c r="AZ15" i="1"/>
  <c r="AU15" i="1"/>
  <c r="AP15" i="1"/>
  <c r="AK15" i="1"/>
  <c r="AF15" i="1"/>
  <c r="AA15" i="1"/>
  <c r="V15" i="1"/>
  <c r="Q15" i="1"/>
  <c r="L15" i="1"/>
  <c r="G15" i="1"/>
  <c r="B15" i="1"/>
  <c r="N5" i="1" l="1"/>
  <c r="AH16" i="1"/>
  <c r="AW7" i="1"/>
  <c r="BB12" i="1"/>
  <c r="D3" i="1"/>
  <c r="D16" i="1"/>
  <c r="I16" i="1"/>
  <c r="N14" i="1"/>
  <c r="N13" i="1"/>
  <c r="BG8" i="1"/>
  <c r="I4" i="1"/>
  <c r="I8" i="1"/>
  <c r="N2" i="1"/>
  <c r="N12" i="1"/>
  <c r="S15" i="1"/>
  <c r="D13" i="1"/>
  <c r="N3" i="1"/>
  <c r="X7" i="1"/>
  <c r="D12" i="1"/>
  <c r="S4" i="1"/>
  <c r="D11" i="1"/>
  <c r="BG12" i="1"/>
  <c r="D10" i="1"/>
  <c r="BG11" i="1"/>
  <c r="AM6" i="1"/>
  <c r="AC6" i="1"/>
  <c r="D9" i="1"/>
  <c r="BG10" i="1"/>
  <c r="I9" i="1"/>
  <c r="BG9" i="1"/>
  <c r="AM7" i="1"/>
  <c r="BL14" i="1"/>
  <c r="I14" i="1"/>
  <c r="N11" i="1"/>
  <c r="BL12" i="1"/>
  <c r="I13" i="1"/>
  <c r="N10" i="1"/>
  <c r="AW8" i="1"/>
  <c r="BL11" i="1"/>
  <c r="X15" i="1"/>
  <c r="I11" i="1"/>
  <c r="N8" i="1"/>
  <c r="AW6" i="1"/>
  <c r="BL9" i="1"/>
  <c r="AM8" i="1"/>
  <c r="D8" i="1"/>
  <c r="I2" i="1"/>
  <c r="AW10" i="1"/>
  <c r="BL13" i="1"/>
  <c r="AW9" i="1"/>
  <c r="N15" i="1"/>
  <c r="I12" i="1"/>
  <c r="N9" i="1"/>
  <c r="BL10" i="1"/>
  <c r="D14" i="1"/>
  <c r="I10" i="1"/>
  <c r="N4" i="1"/>
  <c r="BL8" i="1"/>
  <c r="AC8" i="1"/>
  <c r="AC9" i="1"/>
  <c r="AC10" i="1"/>
  <c r="AC11" i="1"/>
  <c r="AC12" i="1"/>
  <c r="AC13" i="1"/>
  <c r="S8" i="1"/>
  <c r="S9" i="1"/>
  <c r="S10" i="1"/>
  <c r="S11" i="1"/>
  <c r="S3" i="1"/>
  <c r="AC5" i="1"/>
  <c r="AH9" i="1"/>
  <c r="AH10" i="1"/>
  <c r="AH11" i="1"/>
  <c r="AH12" i="1"/>
  <c r="AH13" i="1"/>
  <c r="AH14" i="1"/>
  <c r="X8" i="1"/>
  <c r="X9" i="1"/>
  <c r="X10" i="1"/>
  <c r="X11" i="1"/>
  <c r="X12" i="1"/>
  <c r="AC15" i="1"/>
  <c r="X2" i="1"/>
  <c r="AC4" i="1"/>
  <c r="AM10" i="1"/>
  <c r="AM11" i="1"/>
  <c r="AM12" i="1"/>
  <c r="AM13" i="1"/>
  <c r="AM14" i="1"/>
  <c r="AM3" i="1"/>
  <c r="AM2" i="1"/>
  <c r="AH15" i="1"/>
  <c r="X14" i="1"/>
  <c r="AC3" i="1"/>
  <c r="AM5" i="1"/>
  <c r="AR11" i="1"/>
  <c r="AR12" i="1"/>
  <c r="AR13" i="1"/>
  <c r="AR14" i="1"/>
  <c r="AR3" i="1"/>
  <c r="AR2" i="1"/>
  <c r="AR4" i="1"/>
  <c r="AR15" i="1"/>
  <c r="AM15" i="1"/>
  <c r="X13" i="1"/>
  <c r="AH2" i="1"/>
  <c r="AM4" i="1"/>
  <c r="AW12" i="1"/>
  <c r="AW13" i="1"/>
  <c r="AW14" i="1"/>
  <c r="AW3" i="1"/>
  <c r="AW2" i="1"/>
  <c r="AW4" i="1"/>
  <c r="AW15" i="1"/>
  <c r="AW5" i="1"/>
  <c r="X6" i="1"/>
  <c r="AH8" i="1"/>
  <c r="AR10" i="1"/>
  <c r="BB13" i="1"/>
  <c r="BB14" i="1"/>
  <c r="BB3" i="1"/>
  <c r="BB2" i="1"/>
  <c r="BB4" i="1"/>
  <c r="BB15" i="1"/>
  <c r="BB5" i="1"/>
  <c r="BB6" i="1"/>
  <c r="X5" i="1"/>
  <c r="AH7" i="1"/>
  <c r="AR9" i="1"/>
  <c r="BB11" i="1"/>
  <c r="BG14" i="1"/>
  <c r="BG3" i="1"/>
  <c r="BG2" i="1"/>
  <c r="BG4" i="1"/>
  <c r="BG15" i="1"/>
  <c r="BG5" i="1"/>
  <c r="BG6" i="1"/>
  <c r="BG7" i="1"/>
  <c r="S2" i="1"/>
  <c r="X4" i="1"/>
  <c r="AH6" i="1"/>
  <c r="AR8" i="1"/>
  <c r="BB10" i="1"/>
  <c r="S14" i="1"/>
  <c r="X3" i="1"/>
  <c r="AH5" i="1"/>
  <c r="AR7" i="1"/>
  <c r="BB9" i="1"/>
  <c r="S13" i="1"/>
  <c r="AC2" i="1"/>
  <c r="AH4" i="1"/>
  <c r="AR6" i="1"/>
  <c r="BB8" i="1"/>
  <c r="S12" i="1"/>
  <c r="AC14" i="1"/>
  <c r="AH3" i="1"/>
  <c r="AR5" i="1"/>
  <c r="BB7" i="1"/>
  <c r="S6" i="1"/>
  <c r="S5" i="1"/>
  <c r="AC7" i="1"/>
  <c r="AM9" i="1"/>
  <c r="AW11" i="1"/>
  <c r="BG13" i="1"/>
  <c r="D7" i="1"/>
  <c r="BL7" i="1"/>
  <c r="D6" i="1"/>
  <c r="I7" i="1"/>
  <c r="BL6" i="1"/>
  <c r="D5" i="1"/>
  <c r="I6" i="1"/>
  <c r="N7" i="1"/>
  <c r="BL5" i="1"/>
  <c r="D15" i="1"/>
  <c r="BL15" i="1"/>
  <c r="D4" i="1"/>
  <c r="I5" i="1"/>
  <c r="N6" i="1"/>
  <c r="S7" i="1"/>
  <c r="BL4" i="1"/>
  <c r="I15" i="1"/>
  <c r="D2" i="1"/>
  <c r="BL2" i="1"/>
</calcChain>
</file>

<file path=xl/sharedStrings.xml><?xml version="1.0" encoding="utf-8"?>
<sst xmlns="http://schemas.openxmlformats.org/spreadsheetml/2006/main" count="485" uniqueCount="63">
  <si>
    <t>centroid_id</t>
  </si>
  <si>
    <t>all_spp_cpue_2020_std</t>
  </si>
  <si>
    <t>all_spp_cpue_2020_std_sd</t>
  </si>
  <si>
    <t>all_spp_cpue_2020_std_label</t>
  </si>
  <si>
    <t>bathymetry_2020_std</t>
  </si>
  <si>
    <t>bathymetry_2020_std_sd</t>
  </si>
  <si>
    <t>bathymetry_2020_std_label</t>
  </si>
  <si>
    <t>bottom_temperature_2020_std</t>
  </si>
  <si>
    <t>bottom_temperature_2020_std_sd</t>
  </si>
  <si>
    <t>bottom_temperature_2020_std_label</t>
  </si>
  <si>
    <t>surface_net_primary_production_2020_std</t>
  </si>
  <si>
    <t>surface_net_primary_production_2020_std_sd</t>
  </si>
  <si>
    <t>surface_net_primary_production_2020_std_label</t>
  </si>
  <si>
    <t>fishing_activity_hours_2020_std</t>
  </si>
  <si>
    <t>fishing_activity_hours_2020_std_sd</t>
  </si>
  <si>
    <t>fishing_activity_hours_2020_std_label</t>
  </si>
  <si>
    <t>ship_density_route_2020_std</t>
  </si>
  <si>
    <t>ship_density_route_2020_std_sd</t>
  </si>
  <si>
    <t>ship_density_route_2020_std_label</t>
  </si>
  <si>
    <t>bottom_salinity_2020_std</t>
  </si>
  <si>
    <t>bottom_salinity_2020_std_sd</t>
  </si>
  <si>
    <t>bottom_salinity_2020_std_label</t>
  </si>
  <si>
    <t>bottom_dissolved_oxygen_2020_inv_std</t>
  </si>
  <si>
    <t>bottom_dissolved_oxygen_2020_inv_std_sd</t>
  </si>
  <si>
    <t>bottom_dissolved_oxygen_2020_inv_std_label</t>
  </si>
  <si>
    <t>dumping_site_2020</t>
  </si>
  <si>
    <t>dumping_site_2020_sd</t>
  </si>
  <si>
    <t>dumping_site_2020_label</t>
  </si>
  <si>
    <t>military_area_2020</t>
  </si>
  <si>
    <t>military_area_2020_sd</t>
  </si>
  <si>
    <t>military_area_2020_label</t>
  </si>
  <si>
    <t>wind_farm_2020</t>
  </si>
  <si>
    <t>wind_farm_2020_sd</t>
  </si>
  <si>
    <t>wind_farm_2020_label</t>
  </si>
  <si>
    <t>bedrock_seabed_2020</t>
  </si>
  <si>
    <t>bedrock_seabed_2020_sd</t>
  </si>
  <si>
    <t>bedrock_seabed_2020_label</t>
  </si>
  <si>
    <t>hard_bottom_seabed_2020</t>
  </si>
  <si>
    <t>hard_bottom_seabed_2020_sd</t>
  </si>
  <si>
    <t>hard_bottom_seabed_2020_label</t>
  </si>
  <si>
    <t>attention_level</t>
  </si>
  <si>
    <t>H</t>
  </si>
  <si>
    <t>L</t>
  </si>
  <si>
    <t>M</t>
  </si>
  <si>
    <t>high attention</t>
  </si>
  <si>
    <t>IF Centroid &gt;= Centroid_mean+ (SD_mean/2) --&gt; 1 o 0.5</t>
  </si>
  <si>
    <t>MAIUSCOLO/minuscolo/0</t>
  </si>
  <si>
    <t>BIODIVERSITY</t>
  </si>
  <si>
    <t>BATHYMETRY</t>
  </si>
  <si>
    <t>TEMPERATURE</t>
  </si>
  <si>
    <t>NPP</t>
  </si>
  <si>
    <t>FISHING</t>
  </si>
  <si>
    <t>SHIP</t>
  </si>
  <si>
    <t>SALINITY</t>
  </si>
  <si>
    <t>salinity</t>
  </si>
  <si>
    <t>OXYGEN</t>
  </si>
  <si>
    <t>DUMPING_SITE</t>
  </si>
  <si>
    <t>MILITARY</t>
  </si>
  <si>
    <t>WIND_FARM</t>
  </si>
  <si>
    <t>BEDROCK</t>
  </si>
  <si>
    <t>bedrock</t>
  </si>
  <si>
    <t>HARDROCK</t>
  </si>
  <si>
    <t>hardrock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</si>
</sst>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18" fillId="38" borderId="10" xfId="0" applyFont="1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18" fillId="39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38" borderId="10" xfId="0" applyFont="1" applyFill="1" applyBorder="1" applyAlignment="1">
      <alignment horizontal="center" vertical="center"/>
    </xf>
    <xf numFmtId="0" fontId="21" fillId="38" borderId="10" xfId="0" applyFont="1" applyFill="1" applyBorder="1" applyAlignment="1">
      <alignment horizontal="center" vertical="center"/>
    </xf>
    <xf numFmtId="0" fontId="20" fillId="39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4"/>
  <sheetViews>
    <sheetView tabSelected="1" topLeftCell="A58" zoomScale="70" zoomScaleNormal="70" workbookViewId="0">
      <selection activeCell="J61" sqref="J61:N64"/>
    </sheetView>
  </sheetViews>
  <sheetFormatPr defaultColWidth="11.9296875" defaultRowHeight="30.85" customHeight="1" x14ac:dyDescent="0.45"/>
  <cols>
    <col min="1" max="16" width="29.3984375" style="1" customWidth="1"/>
    <col min="17" max="17" width="35.796875" style="1" bestFit="1" customWidth="1"/>
    <col min="18" max="18" width="38.53125" style="1" bestFit="1" customWidth="1"/>
    <col min="19" max="19" width="46.6640625" style="1" bestFit="1" customWidth="1"/>
    <col min="20" max="20" width="22.19921875" style="1" bestFit="1" customWidth="1"/>
    <col min="21" max="21" width="40.796875" style="1" bestFit="1" customWidth="1"/>
    <col min="22" max="22" width="26.796875" style="1" bestFit="1" customWidth="1"/>
    <col min="23" max="23" width="29.59765625" style="1" bestFit="1" customWidth="1"/>
    <col min="24" max="24" width="46.6640625" style="1" bestFit="1" customWidth="1"/>
    <col min="25" max="25" width="22.19921875" style="1" bestFit="1" customWidth="1"/>
    <col min="26" max="26" width="31.73046875" style="1" bestFit="1" customWidth="1"/>
    <col min="27" max="27" width="24.59765625" style="1" bestFit="1" customWidth="1"/>
    <col min="28" max="28" width="27.46484375" style="1" bestFit="1" customWidth="1"/>
    <col min="29" max="29" width="46.6640625" style="1" bestFit="1" customWidth="1"/>
    <col min="30" max="30" width="22.19921875" style="1" bestFit="1" customWidth="1"/>
    <col min="31" max="31" width="29.59765625" style="1" bestFit="1" customWidth="1"/>
    <col min="32" max="32" width="21.9296875" style="1" bestFit="1" customWidth="1"/>
    <col min="33" max="33" width="24.796875" style="1" bestFit="1" customWidth="1"/>
    <col min="34" max="34" width="46.6640625" style="1" bestFit="1" customWidth="1"/>
    <col min="35" max="35" width="22.19921875" style="1" bestFit="1" customWidth="1"/>
    <col min="36" max="36" width="26.9296875" style="1" bestFit="1" customWidth="1"/>
    <col min="37" max="37" width="33.73046875" style="1" bestFit="1" customWidth="1"/>
    <col min="38" max="38" width="36.59765625" style="1" bestFit="1" customWidth="1"/>
    <col min="39" max="39" width="46.6640625" style="1" bestFit="1" customWidth="1"/>
    <col min="40" max="40" width="22.19921875" style="1" bestFit="1" customWidth="1"/>
    <col min="41" max="41" width="38.6640625" style="1" bestFit="1" customWidth="1"/>
    <col min="42" max="42" width="16.796875" style="1" bestFit="1" customWidth="1"/>
    <col min="43" max="43" width="19.59765625" style="1" bestFit="1" customWidth="1"/>
    <col min="44" max="44" width="46.6640625" style="1" bestFit="1" customWidth="1"/>
    <col min="45" max="45" width="22.19921875" style="1" bestFit="1" customWidth="1"/>
    <col min="46" max="46" width="21.73046875" style="1" bestFit="1" customWidth="1"/>
    <col min="47" max="47" width="16.265625" style="1" bestFit="1" customWidth="1"/>
    <col min="48" max="48" width="19.06640625" style="1" bestFit="1" customWidth="1"/>
    <col min="49" max="49" width="46.6640625" style="1" bestFit="1" customWidth="1"/>
    <col min="50" max="50" width="22.19921875" style="1" bestFit="1" customWidth="1"/>
    <col min="51" max="51" width="21.19921875" style="1" bestFit="1" customWidth="1"/>
    <col min="52" max="52" width="14.265625" style="1" bestFit="1" customWidth="1"/>
    <col min="53" max="53" width="17.06640625" style="1" bestFit="1" customWidth="1"/>
    <col min="54" max="54" width="46.6640625" style="1" bestFit="1" customWidth="1"/>
    <col min="55" max="55" width="22.19921875" style="1" bestFit="1" customWidth="1"/>
    <col min="56" max="56" width="19.19921875" style="1" bestFit="1" customWidth="1"/>
    <col min="57" max="57" width="19.265625" style="1" bestFit="1" customWidth="1"/>
    <col min="58" max="58" width="22.1328125" style="1" bestFit="1" customWidth="1"/>
    <col min="59" max="59" width="46.6640625" style="1" bestFit="1" customWidth="1"/>
    <col min="60" max="60" width="22.19921875" style="1" bestFit="1" customWidth="1"/>
    <col min="61" max="61" width="24.265625" style="1" bestFit="1" customWidth="1"/>
    <col min="62" max="62" width="23.265625" style="1" bestFit="1" customWidth="1"/>
    <col min="63" max="63" width="26" style="1" bestFit="1" customWidth="1"/>
    <col min="64" max="64" width="46.6640625" style="1" bestFit="1" customWidth="1"/>
    <col min="65" max="65" width="22.19921875" style="1" bestFit="1" customWidth="1"/>
    <col min="66" max="66" width="28.1328125" style="1" bestFit="1" customWidth="1"/>
    <col min="67" max="67" width="12.86328125" style="1" bestFit="1" customWidth="1"/>
    <col min="68" max="16384" width="11.9296875" style="1"/>
  </cols>
  <sheetData>
    <row r="1" spans="1:67" ht="30.85" customHeight="1" x14ac:dyDescent="0.45">
      <c r="A1" s="2" t="s">
        <v>0</v>
      </c>
      <c r="B1" s="3" t="s">
        <v>1</v>
      </c>
      <c r="C1" s="3" t="s">
        <v>2</v>
      </c>
      <c r="D1" s="3" t="s">
        <v>45</v>
      </c>
      <c r="E1" s="3" t="s">
        <v>46</v>
      </c>
      <c r="F1" s="3" t="s">
        <v>3</v>
      </c>
      <c r="G1" s="4" t="s">
        <v>4</v>
      </c>
      <c r="H1" s="4" t="s">
        <v>5</v>
      </c>
      <c r="I1" s="4" t="s">
        <v>45</v>
      </c>
      <c r="J1" s="4" t="s">
        <v>46</v>
      </c>
      <c r="K1" s="4" t="s">
        <v>6</v>
      </c>
      <c r="L1" s="5" t="s">
        <v>7</v>
      </c>
      <c r="M1" s="5" t="s">
        <v>8</v>
      </c>
      <c r="N1" s="5" t="s">
        <v>45</v>
      </c>
      <c r="O1" s="5" t="s">
        <v>46</v>
      </c>
      <c r="P1" s="5" t="s">
        <v>9</v>
      </c>
      <c r="Q1" s="4" t="s">
        <v>10</v>
      </c>
      <c r="R1" s="4" t="s">
        <v>11</v>
      </c>
      <c r="S1" s="4" t="s">
        <v>45</v>
      </c>
      <c r="T1" s="4" t="s">
        <v>46</v>
      </c>
      <c r="U1" s="4" t="s">
        <v>12</v>
      </c>
      <c r="V1" s="5" t="s">
        <v>13</v>
      </c>
      <c r="W1" s="5" t="s">
        <v>14</v>
      </c>
      <c r="X1" s="5" t="s">
        <v>45</v>
      </c>
      <c r="Y1" s="5" t="s">
        <v>46</v>
      </c>
      <c r="Z1" s="5" t="s">
        <v>15</v>
      </c>
      <c r="AA1" s="4" t="s">
        <v>16</v>
      </c>
      <c r="AB1" s="4" t="s">
        <v>17</v>
      </c>
      <c r="AC1" s="4" t="s">
        <v>45</v>
      </c>
      <c r="AD1" s="4" t="s">
        <v>46</v>
      </c>
      <c r="AE1" s="4" t="s">
        <v>18</v>
      </c>
      <c r="AF1" s="5" t="s">
        <v>19</v>
      </c>
      <c r="AG1" s="5" t="s">
        <v>20</v>
      </c>
      <c r="AH1" s="5" t="s">
        <v>45</v>
      </c>
      <c r="AI1" s="5" t="s">
        <v>46</v>
      </c>
      <c r="AJ1" s="5" t="s">
        <v>21</v>
      </c>
      <c r="AK1" s="4" t="s">
        <v>22</v>
      </c>
      <c r="AL1" s="4" t="s">
        <v>23</v>
      </c>
      <c r="AM1" s="4" t="s">
        <v>45</v>
      </c>
      <c r="AN1" s="4" t="s">
        <v>46</v>
      </c>
      <c r="AO1" s="4" t="s">
        <v>24</v>
      </c>
      <c r="AP1" s="5" t="s">
        <v>25</v>
      </c>
      <c r="AQ1" s="5" t="s">
        <v>26</v>
      </c>
      <c r="AR1" s="5" t="s">
        <v>45</v>
      </c>
      <c r="AS1" s="5" t="s">
        <v>46</v>
      </c>
      <c r="AT1" s="5" t="s">
        <v>27</v>
      </c>
      <c r="AU1" s="4" t="s">
        <v>28</v>
      </c>
      <c r="AV1" s="4" t="s">
        <v>29</v>
      </c>
      <c r="AW1" s="4" t="s">
        <v>45</v>
      </c>
      <c r="AX1" s="4" t="s">
        <v>46</v>
      </c>
      <c r="AY1" s="4" t="s">
        <v>30</v>
      </c>
      <c r="AZ1" s="5" t="s">
        <v>31</v>
      </c>
      <c r="BA1" s="5" t="s">
        <v>32</v>
      </c>
      <c r="BB1" s="5" t="s">
        <v>45</v>
      </c>
      <c r="BC1" s="5" t="s">
        <v>46</v>
      </c>
      <c r="BD1" s="5" t="s">
        <v>33</v>
      </c>
      <c r="BE1" s="4" t="s">
        <v>34</v>
      </c>
      <c r="BF1" s="4" t="s">
        <v>35</v>
      </c>
      <c r="BG1" s="4" t="s">
        <v>45</v>
      </c>
      <c r="BH1" s="4" t="s">
        <v>46</v>
      </c>
      <c r="BI1" s="4" t="s">
        <v>36</v>
      </c>
      <c r="BJ1" s="5" t="s">
        <v>37</v>
      </c>
      <c r="BK1" s="5" t="s">
        <v>38</v>
      </c>
      <c r="BL1" s="5" t="s">
        <v>45</v>
      </c>
      <c r="BM1" s="5" t="s">
        <v>46</v>
      </c>
      <c r="BN1" s="5" t="s">
        <v>39</v>
      </c>
      <c r="BO1" s="2" t="s">
        <v>40</v>
      </c>
    </row>
    <row r="2" spans="1:67" ht="30.85" customHeight="1" x14ac:dyDescent="0.45">
      <c r="A2" s="2">
        <v>1</v>
      </c>
      <c r="B2" s="3">
        <v>0.23777529339337899</v>
      </c>
      <c r="C2" s="3">
        <v>0.785520668230408</v>
      </c>
      <c r="D2" s="3">
        <f t="shared" ref="D2:D14" si="0">IF(B2 &gt; $B$15 + $C$15, 1, IF(B2 &gt;= $B$15 + $C$15/2, 0.5, 0))</f>
        <v>0</v>
      </c>
      <c r="E2" s="10"/>
      <c r="F2" s="3" t="s">
        <v>41</v>
      </c>
      <c r="G2" s="4">
        <v>1.0920049673591301</v>
      </c>
      <c r="H2" s="4">
        <v>0.48870377291030198</v>
      </c>
      <c r="I2" s="4">
        <f>IF(G2 &gt; $G$15 + $H$15, 1, IF(G2 &gt;= $G$15 + $H$15/2, 0.5, 0))</f>
        <v>1</v>
      </c>
      <c r="J2" s="8" t="s">
        <v>48</v>
      </c>
      <c r="K2" s="4" t="s">
        <v>41</v>
      </c>
      <c r="L2" s="5">
        <v>-0.94254299393805596</v>
      </c>
      <c r="M2" s="5">
        <v>0.368966742446591</v>
      </c>
      <c r="N2" s="5">
        <f>IF(L2 &gt; $L$15 + $M$15, 1, IF(L2 &gt;= $L$15 + $M$15/2, 0.5, 0))</f>
        <v>0</v>
      </c>
      <c r="O2" s="9"/>
      <c r="P2" s="5" t="s">
        <v>42</v>
      </c>
      <c r="Q2" s="4">
        <v>0.34281407122972601</v>
      </c>
      <c r="R2" s="4">
        <v>0.58208121888874198</v>
      </c>
      <c r="S2" s="4">
        <f>IF(Q2 &gt; $Q$15 + $R$15, 1, IF(Q2 &gt;= $Q$15 + $R$15/2, 0.5, 0))</f>
        <v>1</v>
      </c>
      <c r="T2" s="8" t="s">
        <v>50</v>
      </c>
      <c r="U2" s="4" t="s">
        <v>41</v>
      </c>
      <c r="V2" s="5">
        <v>3.6428053948385499</v>
      </c>
      <c r="W2" s="5">
        <v>1.51028862189249</v>
      </c>
      <c r="X2" s="5">
        <f>IF(V2 &gt; $V$15 + $W$15, 1, IF(V2 &gt;= $V$15 + $W$15/2, 0.5, 0))</f>
        <v>1</v>
      </c>
      <c r="Y2" s="9" t="s">
        <v>51</v>
      </c>
      <c r="Z2" s="5" t="s">
        <v>41</v>
      </c>
      <c r="AA2" s="4">
        <v>-0.13882239699184001</v>
      </c>
      <c r="AB2" s="4">
        <v>0.27672051198042302</v>
      </c>
      <c r="AC2" s="4">
        <f>IF(AA2 &gt; $AA$15 + $AB$15, 1, IF(AA2 &gt;= $AA$15 + $AB$15/2, 0.5, 0))</f>
        <v>0</v>
      </c>
      <c r="AD2" s="8"/>
      <c r="AE2" s="4" t="s">
        <v>41</v>
      </c>
      <c r="AF2" s="5">
        <v>-0.45250699761831997</v>
      </c>
      <c r="AG2" s="5">
        <v>0.209400999039344</v>
      </c>
      <c r="AH2" s="5">
        <f>IF(AF2 &gt; $AF$15 + $AG$15, 1, IF(AF2 &gt;= $AF$15 + $AG$15/2, 0.5, 0))</f>
        <v>0</v>
      </c>
      <c r="AI2" s="9"/>
      <c r="AJ2" s="5" t="s">
        <v>42</v>
      </c>
      <c r="AK2" s="4">
        <v>0.521839127595361</v>
      </c>
      <c r="AL2" s="4">
        <v>0.64353549693661105</v>
      </c>
      <c r="AM2" s="4">
        <f>IF(AK2 &gt; $AK$15 + $AL$15, 1, IF(AK2 &gt;= $AK$15 + $AL$15/2, 0.5, 0))</f>
        <v>1</v>
      </c>
      <c r="AN2" s="8" t="s">
        <v>55</v>
      </c>
      <c r="AO2" s="4" t="s">
        <v>41</v>
      </c>
      <c r="AP2" s="5">
        <v>0.107142857142857</v>
      </c>
      <c r="AQ2" s="5">
        <v>0.31497039417435602</v>
      </c>
      <c r="AR2" s="5">
        <f>IF(AP2 &gt; $AP$15 + $AQ$15, 1, IF(AP2 &gt;= $AP$15 + $AQ$15/2, 0.5, 0))</f>
        <v>0</v>
      </c>
      <c r="AS2" s="9"/>
      <c r="AT2" s="5" t="s">
        <v>41</v>
      </c>
      <c r="AU2" s="4">
        <v>0.14285714285714299</v>
      </c>
      <c r="AV2" s="4">
        <v>0.35634832254989901</v>
      </c>
      <c r="AW2" s="4">
        <f>IF(AU2 &gt; $AU$15 + $AV$15, 1, IF(AU2 &gt;= $AV$15 + $AU$15/2, 0.5, 0))</f>
        <v>0</v>
      </c>
      <c r="AX2" s="8"/>
      <c r="AY2" s="4" t="s">
        <v>41</v>
      </c>
      <c r="AZ2" s="5">
        <v>0</v>
      </c>
      <c r="BA2" s="5">
        <v>0</v>
      </c>
      <c r="BB2" s="5">
        <f>IF(AZ2 &gt; $AZ$15 + $BA$15, 1, IF(AZ2 &gt;= $AZ$15 + $BA$15/2, 0.5, 0))</f>
        <v>0</v>
      </c>
      <c r="BC2" s="9"/>
      <c r="BD2" s="5" t="s">
        <v>43</v>
      </c>
      <c r="BE2" s="4">
        <v>0</v>
      </c>
      <c r="BF2" s="4">
        <v>0</v>
      </c>
      <c r="BG2" s="4">
        <f>IF(BE2 &gt; $BE$15 + $BF$15, 1, IF(BE2 &gt;= $BE$15 + $BF$15/2, 0.5, 0))</f>
        <v>0</v>
      </c>
      <c r="BH2" s="8"/>
      <c r="BI2" s="4" t="s">
        <v>43</v>
      </c>
      <c r="BJ2" s="5">
        <v>0</v>
      </c>
      <c r="BK2" s="5">
        <v>0</v>
      </c>
      <c r="BL2" s="5">
        <f>IF(BJ2 &gt; $BJ$15 + $BK$15, 1, IF(BJ2 &gt;= $BJ$15 + $BK$15/2, 0.5, 0))</f>
        <v>0</v>
      </c>
      <c r="BM2" s="9"/>
      <c r="BN2" s="5" t="s">
        <v>43</v>
      </c>
      <c r="BO2" s="2" t="s">
        <v>44</v>
      </c>
    </row>
    <row r="3" spans="1:67" ht="30.85" customHeight="1" x14ac:dyDescent="0.45">
      <c r="A3" s="13">
        <v>12</v>
      </c>
      <c r="B3" s="13">
        <v>0.95196080547565698</v>
      </c>
      <c r="C3" s="13">
        <v>0.95611123968542999</v>
      </c>
      <c r="D3" s="13">
        <f t="shared" si="0"/>
        <v>1</v>
      </c>
      <c r="E3" s="14" t="s">
        <v>47</v>
      </c>
      <c r="F3" s="13" t="s">
        <v>41</v>
      </c>
      <c r="G3" s="13">
        <v>2.5329751449552602</v>
      </c>
      <c r="H3" s="13">
        <v>0.37304468743882002</v>
      </c>
      <c r="I3" s="13">
        <f t="shared" ref="I3:I14" si="1">IF(G3 &gt; $G$15 + $H$15, 1, IF(G3 &gt;= $G$15 + $H$15/2, 0.5, 0))</f>
        <v>1</v>
      </c>
      <c r="J3" s="14" t="s">
        <v>48</v>
      </c>
      <c r="K3" s="13" t="s">
        <v>41</v>
      </c>
      <c r="L3" s="13">
        <v>-1.11441064960852</v>
      </c>
      <c r="M3" s="13">
        <v>0.153971508664661</v>
      </c>
      <c r="N3" s="13">
        <f t="shared" ref="N3:N14" si="2">IF(L3 &gt; $L$15 + $M$15, 1, IF(L3 &gt;= $L$15 + $M$15/2, 0.5, 0))</f>
        <v>0</v>
      </c>
      <c r="O3" s="14"/>
      <c r="P3" s="13" t="s">
        <v>42</v>
      </c>
      <c r="Q3" s="13">
        <v>-0.41092077589787601</v>
      </c>
      <c r="R3" s="13">
        <v>1.7728584412296002E-2</v>
      </c>
      <c r="S3" s="13">
        <f t="shared" ref="S3:S14" si="3">IF(Q3 &gt; $Q$15 + $R$15, 1, IF(Q3 &gt;= $Q$15 + $R$15/2, 0.5, 0))</f>
        <v>0</v>
      </c>
      <c r="T3" s="14"/>
      <c r="U3" s="13" t="s">
        <v>42</v>
      </c>
      <c r="V3" s="13">
        <v>-0.49215749709711198</v>
      </c>
      <c r="W3" s="13">
        <v>5.0060338660162497E-2</v>
      </c>
      <c r="X3" s="13">
        <f t="shared" ref="X3:X14" si="4">IF(V3 &gt; $V$15 + $W$15, 1, IF(V3 &gt;= $V$15 + $W$15/2, 0.5, 0))</f>
        <v>0</v>
      </c>
      <c r="Y3" s="14"/>
      <c r="Z3" s="13" t="s">
        <v>42</v>
      </c>
      <c r="AA3" s="13">
        <v>-0.26993162930036302</v>
      </c>
      <c r="AB3" s="13">
        <v>0.259077267632427</v>
      </c>
      <c r="AC3" s="13">
        <f t="shared" ref="AC3:AC14" si="5">IF(AA3 &gt; $AA$15 + $AB$15, 1, IF(AA3 &gt;= $AA$15 + $AB$15/2, 0.5, 0))</f>
        <v>0</v>
      </c>
      <c r="AD3" s="14"/>
      <c r="AE3" s="13" t="s">
        <v>43</v>
      </c>
      <c r="AF3" s="13">
        <v>-0.27694206682861</v>
      </c>
      <c r="AG3" s="13">
        <v>4.9290439346298502E-2</v>
      </c>
      <c r="AH3" s="13">
        <f t="shared" ref="AH3:AH14" si="6">IF(AF3 &gt; $AF$15 + $AG$15, 1, IF(AF3 &gt;= $AF$15 + $AG$15/2, 0.5, 0))</f>
        <v>0</v>
      </c>
      <c r="AI3" s="14"/>
      <c r="AJ3" s="13" t="s">
        <v>43</v>
      </c>
      <c r="AK3" s="13">
        <v>3.12950593133165</v>
      </c>
      <c r="AL3" s="13">
        <v>0.802737833729533</v>
      </c>
      <c r="AM3" s="13">
        <f t="shared" ref="AM3:AM14" si="7">IF(AK3 &gt; $AK$15 + $AL$15, 1, IF(AK3 &gt;= $AK$15 + $AL$15/2, 0.5, 0))</f>
        <v>1</v>
      </c>
      <c r="AN3" s="14" t="s">
        <v>55</v>
      </c>
      <c r="AO3" s="13" t="s">
        <v>41</v>
      </c>
      <c r="AP3" s="13">
        <v>0.51063829787234005</v>
      </c>
      <c r="AQ3" s="13">
        <v>0.50529115263991098</v>
      </c>
      <c r="AR3" s="13">
        <f t="shared" ref="AR3:AR14" si="8">IF(AP3 &gt; $AP$15 + $AQ$15, 1, IF(AP3 &gt;= $AP$15 + $AQ$15/2, 0.5, 0))</f>
        <v>1</v>
      </c>
      <c r="AS3" s="14" t="s">
        <v>56</v>
      </c>
      <c r="AT3" s="13" t="s">
        <v>41</v>
      </c>
      <c r="AU3" s="13">
        <v>8.5106382978723402E-2</v>
      </c>
      <c r="AV3" s="13">
        <v>0.282056672846969</v>
      </c>
      <c r="AW3" s="13">
        <f t="shared" ref="AW3:AW14" si="9">IF(AU3 &gt; $AU$15 + $AV$15, 1, IF(AU3 &gt;= $AV$15 + $AU$15/2, 0.5, 0))</f>
        <v>0</v>
      </c>
      <c r="AX3" s="14"/>
      <c r="AY3" s="13" t="s">
        <v>41</v>
      </c>
      <c r="AZ3" s="13">
        <v>6.3829787234042507E-2</v>
      </c>
      <c r="BA3" s="13">
        <v>0.24709224814516501</v>
      </c>
      <c r="BB3" s="13">
        <f t="shared" ref="BB3:BB14" si="10">IF(AZ3 &gt; $AZ$15 + $BA$15, 1, IF(AZ3 &gt;= $AZ$15 + $BA$15/2, 0.5, 0))</f>
        <v>0</v>
      </c>
      <c r="BC3" s="14"/>
      <c r="BD3" s="13" t="s">
        <v>41</v>
      </c>
      <c r="BE3" s="13">
        <v>0</v>
      </c>
      <c r="BF3" s="13">
        <v>0</v>
      </c>
      <c r="BG3" s="13">
        <f t="shared" ref="BG3:BG14" si="11">IF(BE3 &gt; $BE$15 + $BF$15, 1, IF(BE3 &gt;= $BE$15 + $BF$15/2, 0.5, 0))</f>
        <v>0</v>
      </c>
      <c r="BH3" s="14"/>
      <c r="BI3" s="13" t="s">
        <v>43</v>
      </c>
      <c r="BJ3" s="13">
        <v>0</v>
      </c>
      <c r="BK3" s="13">
        <v>0</v>
      </c>
      <c r="BL3" s="13">
        <f t="shared" ref="BL3:BL14" si="12">IF(BJ3 &gt; $BJ$15 + $BK$15, 1, IF(BJ3 &gt;= $BJ$15 + $BK$15/2, 0.5, 0))</f>
        <v>0</v>
      </c>
      <c r="BM3" s="14"/>
      <c r="BN3" s="13" t="s">
        <v>43</v>
      </c>
      <c r="BO3" s="13" t="s">
        <v>44</v>
      </c>
    </row>
    <row r="4" spans="1:67" ht="30.85" customHeight="1" x14ac:dyDescent="0.45">
      <c r="A4" s="2">
        <v>14</v>
      </c>
      <c r="B4" s="3">
        <v>0.288894792747447</v>
      </c>
      <c r="C4" s="3">
        <v>0.48364548631165399</v>
      </c>
      <c r="D4" s="3">
        <f t="shared" si="0"/>
        <v>0</v>
      </c>
      <c r="E4" s="10"/>
      <c r="F4" s="3" t="s">
        <v>41</v>
      </c>
      <c r="G4" s="4">
        <v>0.73643225005495305</v>
      </c>
      <c r="H4" s="4">
        <v>0.24852422005029301</v>
      </c>
      <c r="I4" s="4">
        <f t="shared" si="1"/>
        <v>1</v>
      </c>
      <c r="J4" s="8" t="s">
        <v>48</v>
      </c>
      <c r="K4" s="4" t="s">
        <v>41</v>
      </c>
      <c r="L4" s="5">
        <v>-0.25897028452999499</v>
      </c>
      <c r="M4" s="5">
        <v>0.35068015524012502</v>
      </c>
      <c r="N4" s="5">
        <f t="shared" si="2"/>
        <v>0</v>
      </c>
      <c r="O4" s="9"/>
      <c r="P4" s="5" t="s">
        <v>42</v>
      </c>
      <c r="Q4" s="4">
        <v>-0.27344174143233302</v>
      </c>
      <c r="R4" s="4">
        <v>6.9400591954886903E-2</v>
      </c>
      <c r="S4" s="4">
        <f t="shared" si="3"/>
        <v>0</v>
      </c>
      <c r="T4" s="8"/>
      <c r="U4" s="4" t="s">
        <v>42</v>
      </c>
      <c r="V4" s="5">
        <v>9.18679656782036E-2</v>
      </c>
      <c r="W4" s="5">
        <v>0.52434243267778302</v>
      </c>
      <c r="X4" s="5">
        <f t="shared" si="4"/>
        <v>0</v>
      </c>
      <c r="Y4" s="9"/>
      <c r="Z4" s="5" t="s">
        <v>41</v>
      </c>
      <c r="AA4" s="4">
        <v>-7.9483944878170801E-2</v>
      </c>
      <c r="AB4" s="4">
        <v>0.49132250126230997</v>
      </c>
      <c r="AC4" s="4">
        <f t="shared" si="5"/>
        <v>0</v>
      </c>
      <c r="AD4" s="8"/>
      <c r="AE4" s="4" t="s">
        <v>41</v>
      </c>
      <c r="AF4" s="5">
        <v>-0.14429504194710299</v>
      </c>
      <c r="AG4" s="5">
        <v>0.143200006837779</v>
      </c>
      <c r="AH4" s="5">
        <f t="shared" si="6"/>
        <v>0</v>
      </c>
      <c r="AI4" s="9"/>
      <c r="AJ4" s="5" t="s">
        <v>43</v>
      </c>
      <c r="AK4" s="4">
        <v>0.48101508339932098</v>
      </c>
      <c r="AL4" s="4">
        <v>0.35569890257791997</v>
      </c>
      <c r="AM4" s="4">
        <f t="shared" si="7"/>
        <v>1</v>
      </c>
      <c r="AN4" s="8" t="s">
        <v>55</v>
      </c>
      <c r="AO4" s="4" t="s">
        <v>41</v>
      </c>
      <c r="AP4" s="5">
        <v>0.25</v>
      </c>
      <c r="AQ4" s="5">
        <v>0.435889894354067</v>
      </c>
      <c r="AR4" s="5">
        <f t="shared" si="8"/>
        <v>1</v>
      </c>
      <c r="AS4" s="9" t="s">
        <v>56</v>
      </c>
      <c r="AT4" s="5" t="s">
        <v>41</v>
      </c>
      <c r="AU4" s="4">
        <v>0.28947368421052599</v>
      </c>
      <c r="AV4" s="4">
        <v>0.45653154615160901</v>
      </c>
      <c r="AW4" s="4">
        <f t="shared" si="9"/>
        <v>1</v>
      </c>
      <c r="AX4" s="8" t="s">
        <v>57</v>
      </c>
      <c r="AY4" s="4" t="s">
        <v>41</v>
      </c>
      <c r="AZ4" s="5">
        <v>0.17105263157894701</v>
      </c>
      <c r="BA4" s="5">
        <v>0.37905700168486001</v>
      </c>
      <c r="BB4" s="5">
        <f t="shared" si="10"/>
        <v>1</v>
      </c>
      <c r="BC4" s="9" t="s">
        <v>58</v>
      </c>
      <c r="BD4" s="5" t="s">
        <v>41</v>
      </c>
      <c r="BE4" s="4">
        <v>0</v>
      </c>
      <c r="BF4" s="4">
        <v>0</v>
      </c>
      <c r="BG4" s="4">
        <f t="shared" si="11"/>
        <v>0</v>
      </c>
      <c r="BH4" s="8"/>
      <c r="BI4" s="4" t="s">
        <v>43</v>
      </c>
      <c r="BJ4" s="5">
        <v>2.6315789473684199E-2</v>
      </c>
      <c r="BK4" s="5">
        <v>0.16113631583445701</v>
      </c>
      <c r="BL4" s="5">
        <f t="shared" si="12"/>
        <v>0</v>
      </c>
      <c r="BM4" s="9"/>
      <c r="BN4" s="5" t="s">
        <v>41</v>
      </c>
      <c r="BO4" s="2" t="s">
        <v>44</v>
      </c>
    </row>
    <row r="5" spans="1:67" ht="30.85" customHeight="1" x14ac:dyDescent="0.45">
      <c r="A5" s="2">
        <v>20</v>
      </c>
      <c r="B5" s="3">
        <v>-0.140926013706523</v>
      </c>
      <c r="C5" s="3">
        <v>0.37214788378276997</v>
      </c>
      <c r="D5" s="3">
        <f t="shared" si="0"/>
        <v>0</v>
      </c>
      <c r="E5" s="10"/>
      <c r="F5" s="3" t="s">
        <v>43</v>
      </c>
      <c r="G5" s="4">
        <v>1.2659691551814001</v>
      </c>
      <c r="H5" s="4">
        <v>0.27551964886059699</v>
      </c>
      <c r="I5" s="4">
        <f t="shared" si="1"/>
        <v>1</v>
      </c>
      <c r="J5" s="8" t="s">
        <v>48</v>
      </c>
      <c r="K5" s="4" t="s">
        <v>41</v>
      </c>
      <c r="L5" s="5">
        <v>-0.194106775121801</v>
      </c>
      <c r="M5" s="5">
        <v>0.18073766258437801</v>
      </c>
      <c r="N5" s="5">
        <f t="shared" si="2"/>
        <v>0</v>
      </c>
      <c r="O5" s="9"/>
      <c r="P5" s="5" t="s">
        <v>42</v>
      </c>
      <c r="Q5" s="4">
        <v>-0.26803447632708599</v>
      </c>
      <c r="R5" s="4">
        <v>4.7322107338049903E-2</v>
      </c>
      <c r="S5" s="4">
        <f t="shared" si="3"/>
        <v>0</v>
      </c>
      <c r="T5" s="8"/>
      <c r="U5" s="4" t="s">
        <v>42</v>
      </c>
      <c r="V5" s="5">
        <v>0.33863031442236002</v>
      </c>
      <c r="W5" s="5">
        <v>0.57034981735188095</v>
      </c>
      <c r="X5" s="5">
        <f t="shared" si="4"/>
        <v>0</v>
      </c>
      <c r="Y5" s="9"/>
      <c r="Z5" s="5" t="s">
        <v>41</v>
      </c>
      <c r="AA5" s="4">
        <v>-0.22742357063994501</v>
      </c>
      <c r="AB5" s="4">
        <v>0.28521931669915801</v>
      </c>
      <c r="AC5" s="4">
        <f t="shared" si="5"/>
        <v>0</v>
      </c>
      <c r="AD5" s="8"/>
      <c r="AE5" s="4" t="s">
        <v>43</v>
      </c>
      <c r="AF5" s="5">
        <v>0.17591830777543399</v>
      </c>
      <c r="AG5" s="5">
        <v>0.116675465741097</v>
      </c>
      <c r="AH5" s="5">
        <f t="shared" si="6"/>
        <v>0.5</v>
      </c>
      <c r="AI5" s="9" t="s">
        <v>54</v>
      </c>
      <c r="AJ5" s="5" t="s">
        <v>43</v>
      </c>
      <c r="AK5" s="4">
        <v>1.20508502404462</v>
      </c>
      <c r="AL5" s="4">
        <v>0.36519864984256301</v>
      </c>
      <c r="AM5" s="4">
        <f t="shared" si="7"/>
        <v>1</v>
      </c>
      <c r="AN5" s="8" t="s">
        <v>55</v>
      </c>
      <c r="AO5" s="4" t="s">
        <v>41</v>
      </c>
      <c r="AP5" s="5">
        <v>0.98780487804878003</v>
      </c>
      <c r="AQ5" s="5">
        <v>0.11043152607484701</v>
      </c>
      <c r="AR5" s="5">
        <f t="shared" si="8"/>
        <v>1</v>
      </c>
      <c r="AS5" s="9" t="s">
        <v>56</v>
      </c>
      <c r="AT5" s="5" t="s">
        <v>41</v>
      </c>
      <c r="AU5" s="4">
        <v>0.65853658536585402</v>
      </c>
      <c r="AV5" s="4">
        <v>0.477118723613698</v>
      </c>
      <c r="AW5" s="4">
        <f t="shared" si="9"/>
        <v>1</v>
      </c>
      <c r="AX5" s="8" t="s">
        <v>57</v>
      </c>
      <c r="AY5" s="4" t="s">
        <v>41</v>
      </c>
      <c r="AZ5" s="5">
        <v>2.4390243902439001E-2</v>
      </c>
      <c r="BA5" s="5">
        <v>0.15520673239324001</v>
      </c>
      <c r="BB5" s="5">
        <f t="shared" si="10"/>
        <v>0</v>
      </c>
      <c r="BC5" s="9"/>
      <c r="BD5" s="5" t="s">
        <v>41</v>
      </c>
      <c r="BE5" s="4">
        <v>0</v>
      </c>
      <c r="BF5" s="4">
        <v>0</v>
      </c>
      <c r="BG5" s="4">
        <f t="shared" si="11"/>
        <v>0</v>
      </c>
      <c r="BH5" s="8"/>
      <c r="BI5" s="4" t="s">
        <v>43</v>
      </c>
      <c r="BJ5" s="5">
        <v>0</v>
      </c>
      <c r="BK5" s="5">
        <v>0</v>
      </c>
      <c r="BL5" s="5">
        <f t="shared" si="12"/>
        <v>0</v>
      </c>
      <c r="BM5" s="9"/>
      <c r="BN5" s="5" t="s">
        <v>43</v>
      </c>
      <c r="BO5" s="2" t="s">
        <v>44</v>
      </c>
    </row>
    <row r="6" spans="1:67" ht="30.85" customHeight="1" x14ac:dyDescent="0.45">
      <c r="A6" s="13">
        <v>21</v>
      </c>
      <c r="B6" s="13">
        <v>0.995939259079196</v>
      </c>
      <c r="C6" s="13">
        <v>0.54713767170120298</v>
      </c>
      <c r="D6" s="13">
        <f t="shared" si="0"/>
        <v>1</v>
      </c>
      <c r="E6" s="14" t="s">
        <v>47</v>
      </c>
      <c r="F6" s="13" t="s">
        <v>41</v>
      </c>
      <c r="G6" s="13">
        <v>0.42589441771424402</v>
      </c>
      <c r="H6" s="13">
        <v>0.28594237519589799</v>
      </c>
      <c r="I6" s="13">
        <f t="shared" si="1"/>
        <v>1</v>
      </c>
      <c r="J6" s="14" t="s">
        <v>48</v>
      </c>
      <c r="K6" s="13" t="s">
        <v>43</v>
      </c>
      <c r="L6" s="13">
        <v>-1.83552269991258</v>
      </c>
      <c r="M6" s="13">
        <v>0.16165252674931899</v>
      </c>
      <c r="N6" s="13">
        <f t="shared" si="2"/>
        <v>0</v>
      </c>
      <c r="O6" s="14"/>
      <c r="P6" s="13" t="s">
        <v>42</v>
      </c>
      <c r="Q6" s="13">
        <v>-0.32398689839028599</v>
      </c>
      <c r="R6" s="13">
        <v>5.0206520762197997E-2</v>
      </c>
      <c r="S6" s="13">
        <f t="shared" si="3"/>
        <v>0</v>
      </c>
      <c r="T6" s="14"/>
      <c r="U6" s="13" t="s">
        <v>42</v>
      </c>
      <c r="V6" s="13">
        <v>-0.43483245488559502</v>
      </c>
      <c r="W6" s="13">
        <v>0.13364371508501</v>
      </c>
      <c r="X6" s="13">
        <f t="shared" si="4"/>
        <v>0</v>
      </c>
      <c r="Y6" s="14"/>
      <c r="Z6" s="13" t="s">
        <v>42</v>
      </c>
      <c r="AA6" s="13">
        <v>-6.3593890191457406E-2</v>
      </c>
      <c r="AB6" s="13">
        <v>0.61105327065239201</v>
      </c>
      <c r="AC6" s="13">
        <f t="shared" si="5"/>
        <v>0</v>
      </c>
      <c r="AD6" s="14"/>
      <c r="AE6" s="13" t="s">
        <v>41</v>
      </c>
      <c r="AF6" s="13">
        <v>-0.69541653439929496</v>
      </c>
      <c r="AG6" s="13">
        <v>5.7460090747041399E-2</v>
      </c>
      <c r="AH6" s="13">
        <f t="shared" si="6"/>
        <v>0</v>
      </c>
      <c r="AI6" s="14"/>
      <c r="AJ6" s="13" t="s">
        <v>42</v>
      </c>
      <c r="AK6" s="13">
        <v>0.59710500992079796</v>
      </c>
      <c r="AL6" s="13">
        <v>0.49327587256920902</v>
      </c>
      <c r="AM6" s="13">
        <f t="shared" si="7"/>
        <v>1</v>
      </c>
      <c r="AN6" s="14" t="s">
        <v>55</v>
      </c>
      <c r="AO6" s="13" t="s">
        <v>41</v>
      </c>
      <c r="AP6" s="13">
        <v>3.8461538461538498E-2</v>
      </c>
      <c r="AQ6" s="13">
        <v>0.194183909345154</v>
      </c>
      <c r="AR6" s="13">
        <f t="shared" si="8"/>
        <v>0</v>
      </c>
      <c r="AS6" s="14"/>
      <c r="AT6" s="13" t="s">
        <v>41</v>
      </c>
      <c r="AU6" s="13">
        <v>1.9230769230769201E-2</v>
      </c>
      <c r="AV6" s="13">
        <v>0.13867504905630701</v>
      </c>
      <c r="AW6" s="13">
        <f t="shared" si="9"/>
        <v>0</v>
      </c>
      <c r="AX6" s="14"/>
      <c r="AY6" s="13" t="s">
        <v>41</v>
      </c>
      <c r="AZ6" s="13">
        <v>3.8461538461538498E-2</v>
      </c>
      <c r="BA6" s="13">
        <v>0.194183909345154</v>
      </c>
      <c r="BB6" s="13">
        <f t="shared" si="10"/>
        <v>0</v>
      </c>
      <c r="BC6" s="14"/>
      <c r="BD6" s="13" t="s">
        <v>41</v>
      </c>
      <c r="BE6" s="13">
        <v>0</v>
      </c>
      <c r="BF6" s="13">
        <v>0</v>
      </c>
      <c r="BG6" s="13">
        <f t="shared" si="11"/>
        <v>0</v>
      </c>
      <c r="BH6" s="14"/>
      <c r="BI6" s="13" t="s">
        <v>43</v>
      </c>
      <c r="BJ6" s="13">
        <v>1.9230769230769201E-2</v>
      </c>
      <c r="BK6" s="13">
        <v>0.13867504905630701</v>
      </c>
      <c r="BL6" s="13">
        <f t="shared" si="12"/>
        <v>0</v>
      </c>
      <c r="BM6" s="14"/>
      <c r="BN6" s="13" t="s">
        <v>41</v>
      </c>
      <c r="BO6" s="13" t="s">
        <v>44</v>
      </c>
    </row>
    <row r="7" spans="1:67" ht="30.85" customHeight="1" x14ac:dyDescent="0.45">
      <c r="A7" s="13">
        <v>22</v>
      </c>
      <c r="B7" s="13">
        <v>1.07433321556704</v>
      </c>
      <c r="C7" s="13">
        <v>0.49195848535375297</v>
      </c>
      <c r="D7" s="13">
        <f t="shared" si="0"/>
        <v>1</v>
      </c>
      <c r="E7" s="14" t="s">
        <v>47</v>
      </c>
      <c r="F7" s="13" t="s">
        <v>41</v>
      </c>
      <c r="G7" s="13">
        <v>-3.40709112993361E-2</v>
      </c>
      <c r="H7" s="13">
        <v>0.27469493287319902</v>
      </c>
      <c r="I7" s="13">
        <f t="shared" si="1"/>
        <v>0</v>
      </c>
      <c r="J7" s="14"/>
      <c r="K7" s="13" t="s">
        <v>43</v>
      </c>
      <c r="L7" s="13">
        <v>-0.90884342451908795</v>
      </c>
      <c r="M7" s="13">
        <v>0.32525762443732198</v>
      </c>
      <c r="N7" s="13">
        <f t="shared" si="2"/>
        <v>0</v>
      </c>
      <c r="O7" s="14"/>
      <c r="P7" s="13" t="s">
        <v>42</v>
      </c>
      <c r="Q7" s="13">
        <v>-0.208443261538621</v>
      </c>
      <c r="R7" s="13">
        <v>0.37466692831604997</v>
      </c>
      <c r="S7" s="13">
        <f t="shared" si="3"/>
        <v>0</v>
      </c>
      <c r="T7" s="14"/>
      <c r="U7" s="13" t="s">
        <v>43</v>
      </c>
      <c r="V7" s="13">
        <v>-0.41627761676706498</v>
      </c>
      <c r="W7" s="13">
        <v>0.210718048730166</v>
      </c>
      <c r="X7" s="13">
        <f t="shared" si="4"/>
        <v>0</v>
      </c>
      <c r="Y7" s="14"/>
      <c r="Z7" s="13" t="s">
        <v>43</v>
      </c>
      <c r="AA7" s="13">
        <v>-0.116646942186034</v>
      </c>
      <c r="AB7" s="13">
        <v>0.47875028088226401</v>
      </c>
      <c r="AC7" s="13">
        <f t="shared" si="5"/>
        <v>0</v>
      </c>
      <c r="AD7" s="14"/>
      <c r="AE7" s="13" t="s">
        <v>41</v>
      </c>
      <c r="AF7" s="13">
        <v>-0.70440311425170099</v>
      </c>
      <c r="AG7" s="13">
        <v>0.14222009073964401</v>
      </c>
      <c r="AH7" s="13">
        <f t="shared" si="6"/>
        <v>0</v>
      </c>
      <c r="AI7" s="14"/>
      <c r="AJ7" s="13" t="s">
        <v>42</v>
      </c>
      <c r="AK7" s="13">
        <v>-0.471774774622436</v>
      </c>
      <c r="AL7" s="13">
        <v>0.245706038119582</v>
      </c>
      <c r="AM7" s="13">
        <f t="shared" si="7"/>
        <v>0</v>
      </c>
      <c r="AN7" s="14"/>
      <c r="AO7" s="13" t="s">
        <v>42</v>
      </c>
      <c r="AP7" s="13">
        <v>6.4935064935064901E-2</v>
      </c>
      <c r="AQ7" s="13">
        <v>0.24802707501094001</v>
      </c>
      <c r="AR7" s="13">
        <f t="shared" si="8"/>
        <v>0</v>
      </c>
      <c r="AS7" s="14"/>
      <c r="AT7" s="13" t="s">
        <v>41</v>
      </c>
      <c r="AU7" s="13">
        <v>1.2987012987013E-2</v>
      </c>
      <c r="AV7" s="13">
        <v>0.113960576459638</v>
      </c>
      <c r="AW7" s="13">
        <f t="shared" si="9"/>
        <v>0</v>
      </c>
      <c r="AX7" s="14"/>
      <c r="AY7" s="13" t="s">
        <v>41</v>
      </c>
      <c r="AZ7" s="13">
        <v>0.11688311688311701</v>
      </c>
      <c r="BA7" s="13">
        <v>0.32338774079333998</v>
      </c>
      <c r="BB7" s="13">
        <f t="shared" si="10"/>
        <v>0</v>
      </c>
      <c r="BC7" s="14"/>
      <c r="BD7" s="13" t="s">
        <v>41</v>
      </c>
      <c r="BE7" s="13">
        <v>0</v>
      </c>
      <c r="BF7" s="13">
        <v>0</v>
      </c>
      <c r="BG7" s="13">
        <f t="shared" si="11"/>
        <v>0</v>
      </c>
      <c r="BH7" s="14"/>
      <c r="BI7" s="13" t="s">
        <v>43</v>
      </c>
      <c r="BJ7" s="13">
        <v>0.103896103896104</v>
      </c>
      <c r="BK7" s="13">
        <v>0.30712656333452099</v>
      </c>
      <c r="BL7" s="13">
        <f t="shared" si="12"/>
        <v>0.5</v>
      </c>
      <c r="BM7" s="14" t="s">
        <v>62</v>
      </c>
      <c r="BN7" s="13" t="s">
        <v>41</v>
      </c>
      <c r="BO7" s="13" t="s">
        <v>44</v>
      </c>
    </row>
    <row r="8" spans="1:67" ht="30.85" customHeight="1" x14ac:dyDescent="0.45">
      <c r="A8" s="2">
        <v>23</v>
      </c>
      <c r="B8" s="3">
        <v>-0.52198877086037399</v>
      </c>
      <c r="C8" s="3">
        <v>0.29919982098620401</v>
      </c>
      <c r="D8" s="3">
        <f t="shared" si="0"/>
        <v>0</v>
      </c>
      <c r="E8" s="10"/>
      <c r="F8" s="3" t="s">
        <v>42</v>
      </c>
      <c r="G8" s="4">
        <v>-1.0583335701676899</v>
      </c>
      <c r="H8" s="4">
        <v>0.21331377891897799</v>
      </c>
      <c r="I8" s="4">
        <f t="shared" si="1"/>
        <v>0</v>
      </c>
      <c r="J8" s="8"/>
      <c r="K8" s="4" t="s">
        <v>42</v>
      </c>
      <c r="L8" s="5">
        <v>1.33428990383835</v>
      </c>
      <c r="M8" s="5">
        <v>0.17285443848649601</v>
      </c>
      <c r="N8" s="5">
        <f t="shared" si="2"/>
        <v>1</v>
      </c>
      <c r="O8" s="9" t="s">
        <v>49</v>
      </c>
      <c r="P8" s="5" t="s">
        <v>41</v>
      </c>
      <c r="Q8" s="4">
        <v>0.15625348334945199</v>
      </c>
      <c r="R8" s="4">
        <v>0.34730056905499401</v>
      </c>
      <c r="S8" s="4">
        <f t="shared" si="3"/>
        <v>1</v>
      </c>
      <c r="T8" s="8" t="s">
        <v>50</v>
      </c>
      <c r="U8" s="4" t="s">
        <v>41</v>
      </c>
      <c r="V8" s="5">
        <v>-0.4741085015789</v>
      </c>
      <c r="W8" s="5">
        <v>8.0711991115161405E-2</v>
      </c>
      <c r="X8" s="5">
        <f t="shared" si="4"/>
        <v>0</v>
      </c>
      <c r="Y8" s="9"/>
      <c r="Z8" s="5" t="s">
        <v>42</v>
      </c>
      <c r="AA8" s="4">
        <v>-0.26682899932630699</v>
      </c>
      <c r="AB8" s="4">
        <v>0.218827588310191</v>
      </c>
      <c r="AC8" s="4">
        <f t="shared" si="5"/>
        <v>0</v>
      </c>
      <c r="AD8" s="8"/>
      <c r="AE8" s="4" t="s">
        <v>43</v>
      </c>
      <c r="AF8" s="5">
        <v>-2.98634234025308E-2</v>
      </c>
      <c r="AG8" s="5">
        <v>0.35102939178680298</v>
      </c>
      <c r="AH8" s="5">
        <f t="shared" si="6"/>
        <v>0</v>
      </c>
      <c r="AI8" s="9"/>
      <c r="AJ8" s="5" t="s">
        <v>43</v>
      </c>
      <c r="AK8" s="4">
        <v>-0.68561802336834099</v>
      </c>
      <c r="AL8" s="4">
        <v>9.2535348064425399E-2</v>
      </c>
      <c r="AM8" s="4">
        <f t="shared" si="7"/>
        <v>0</v>
      </c>
      <c r="AN8" s="8"/>
      <c r="AO8" s="4" t="s">
        <v>42</v>
      </c>
      <c r="AP8" s="5">
        <v>2.7027027027027001E-2</v>
      </c>
      <c r="AQ8" s="5">
        <v>0.16326908396901599</v>
      </c>
      <c r="AR8" s="5">
        <f t="shared" si="8"/>
        <v>0</v>
      </c>
      <c r="AS8" s="9"/>
      <c r="AT8" s="5" t="s">
        <v>41</v>
      </c>
      <c r="AU8" s="4">
        <v>1.35135135135135E-2</v>
      </c>
      <c r="AV8" s="4">
        <v>0.11624763874381901</v>
      </c>
      <c r="AW8" s="4">
        <f t="shared" si="9"/>
        <v>0</v>
      </c>
      <c r="AX8" s="8"/>
      <c r="AY8" s="4" t="s">
        <v>41</v>
      </c>
      <c r="AZ8" s="5">
        <v>9.45945945945946E-2</v>
      </c>
      <c r="BA8" s="5">
        <v>0.29465182234077097</v>
      </c>
      <c r="BB8" s="5">
        <f t="shared" si="10"/>
        <v>0</v>
      </c>
      <c r="BC8" s="9"/>
      <c r="BD8" s="5" t="s">
        <v>41</v>
      </c>
      <c r="BE8" s="4">
        <v>1.35135135135135E-2</v>
      </c>
      <c r="BF8" s="4">
        <v>0.11624763874381901</v>
      </c>
      <c r="BG8" s="4">
        <f t="shared" si="11"/>
        <v>0.5</v>
      </c>
      <c r="BH8" s="8" t="s">
        <v>60</v>
      </c>
      <c r="BI8" s="4" t="s">
        <v>41</v>
      </c>
      <c r="BJ8" s="5">
        <v>0</v>
      </c>
      <c r="BK8" s="5">
        <v>0</v>
      </c>
      <c r="BL8" s="5">
        <f t="shared" si="12"/>
        <v>0</v>
      </c>
      <c r="BM8" s="9"/>
      <c r="BN8" s="5" t="s">
        <v>43</v>
      </c>
      <c r="BO8" s="2" t="s">
        <v>44</v>
      </c>
    </row>
    <row r="9" spans="1:67" ht="30.85" customHeight="1" x14ac:dyDescent="0.45">
      <c r="A9" s="2">
        <v>24</v>
      </c>
      <c r="B9" s="3">
        <v>-0.41546566600718798</v>
      </c>
      <c r="C9" s="3">
        <v>0.56814365772572595</v>
      </c>
      <c r="D9" s="3">
        <f t="shared" si="0"/>
        <v>0</v>
      </c>
      <c r="E9" s="10"/>
      <c r="F9" s="3" t="s">
        <v>42</v>
      </c>
      <c r="G9" s="4">
        <v>-1.0564898848197399</v>
      </c>
      <c r="H9" s="4">
        <v>0.20942335765915299</v>
      </c>
      <c r="I9" s="4">
        <f t="shared" si="1"/>
        <v>0</v>
      </c>
      <c r="J9" s="8"/>
      <c r="K9" s="4" t="s">
        <v>42</v>
      </c>
      <c r="L9" s="5">
        <v>1.0352781644312199</v>
      </c>
      <c r="M9" s="5">
        <v>0.38662563984030701</v>
      </c>
      <c r="N9" s="5">
        <f t="shared" si="2"/>
        <v>1</v>
      </c>
      <c r="O9" s="9" t="s">
        <v>49</v>
      </c>
      <c r="P9" s="5" t="s">
        <v>41</v>
      </c>
      <c r="Q9" s="4">
        <v>1.7342288839923301</v>
      </c>
      <c r="R9" s="4">
        <v>0.46373306031985501</v>
      </c>
      <c r="S9" s="4">
        <f t="shared" si="3"/>
        <v>1</v>
      </c>
      <c r="T9" s="8" t="s">
        <v>50</v>
      </c>
      <c r="U9" s="4" t="s">
        <v>41</v>
      </c>
      <c r="V9" s="5">
        <v>-0.39691058746105901</v>
      </c>
      <c r="W9" s="5">
        <v>0.18070924675876701</v>
      </c>
      <c r="X9" s="5">
        <f t="shared" si="4"/>
        <v>0</v>
      </c>
      <c r="Y9" s="9"/>
      <c r="Z9" s="5" t="s">
        <v>43</v>
      </c>
      <c r="AA9" s="4">
        <v>-0.12619971779854999</v>
      </c>
      <c r="AB9" s="4">
        <v>0.49654705598173798</v>
      </c>
      <c r="AC9" s="4">
        <f t="shared" si="5"/>
        <v>0</v>
      </c>
      <c r="AD9" s="8"/>
      <c r="AE9" s="4" t="s">
        <v>41</v>
      </c>
      <c r="AF9" s="5">
        <v>-0.78689178622845801</v>
      </c>
      <c r="AG9" s="5">
        <v>0.19984828983335601</v>
      </c>
      <c r="AH9" s="5">
        <f t="shared" si="6"/>
        <v>0</v>
      </c>
      <c r="AI9" s="9"/>
      <c r="AJ9" s="5" t="s">
        <v>42</v>
      </c>
      <c r="AK9" s="4">
        <v>-0.80910160924943697</v>
      </c>
      <c r="AL9" s="4">
        <v>8.5156209160199794E-2</v>
      </c>
      <c r="AM9" s="4">
        <f t="shared" si="7"/>
        <v>0</v>
      </c>
      <c r="AN9" s="8"/>
      <c r="AO9" s="4" t="s">
        <v>42</v>
      </c>
      <c r="AP9" s="5">
        <v>0</v>
      </c>
      <c r="AQ9" s="5">
        <v>0</v>
      </c>
      <c r="AR9" s="5">
        <f t="shared" si="8"/>
        <v>0</v>
      </c>
      <c r="AS9" s="9"/>
      <c r="AT9" s="5" t="s">
        <v>43</v>
      </c>
      <c r="AU9" s="4">
        <v>0.10344827586206901</v>
      </c>
      <c r="AV9" s="4">
        <v>0.30720329701799998</v>
      </c>
      <c r="AW9" s="4">
        <f t="shared" si="9"/>
        <v>0</v>
      </c>
      <c r="AX9" s="8"/>
      <c r="AY9" s="4" t="s">
        <v>41</v>
      </c>
      <c r="AZ9" s="5">
        <v>0</v>
      </c>
      <c r="BA9" s="5">
        <v>0</v>
      </c>
      <c r="BB9" s="5">
        <f t="shared" si="10"/>
        <v>0</v>
      </c>
      <c r="BC9" s="9"/>
      <c r="BD9" s="5" t="s">
        <v>43</v>
      </c>
      <c r="BE9" s="4">
        <v>0</v>
      </c>
      <c r="BF9" s="4">
        <v>0</v>
      </c>
      <c r="BG9" s="4">
        <f t="shared" si="11"/>
        <v>0</v>
      </c>
      <c r="BH9" s="8"/>
      <c r="BI9" s="4" t="s">
        <v>43</v>
      </c>
      <c r="BJ9" s="5">
        <v>0.13793103448275901</v>
      </c>
      <c r="BK9" s="5">
        <v>0.34783923802698202</v>
      </c>
      <c r="BL9" s="5">
        <f t="shared" si="12"/>
        <v>1</v>
      </c>
      <c r="BM9" s="9" t="s">
        <v>61</v>
      </c>
      <c r="BN9" s="5" t="s">
        <v>41</v>
      </c>
      <c r="BO9" s="2" t="s">
        <v>44</v>
      </c>
    </row>
    <row r="10" spans="1:67" ht="30.85" customHeight="1" x14ac:dyDescent="0.45">
      <c r="A10" s="2">
        <v>27</v>
      </c>
      <c r="B10" s="3">
        <v>-0.161112663943035</v>
      </c>
      <c r="C10" s="3">
        <v>0.62889922207600502</v>
      </c>
      <c r="D10" s="3">
        <f t="shared" si="0"/>
        <v>0</v>
      </c>
      <c r="E10" s="10"/>
      <c r="F10" s="3" t="s">
        <v>43</v>
      </c>
      <c r="G10" s="4">
        <v>-0.23773043612568401</v>
      </c>
      <c r="H10" s="4">
        <v>0.68937982076034099</v>
      </c>
      <c r="I10" s="4">
        <f t="shared" si="1"/>
        <v>0</v>
      </c>
      <c r="J10" s="8"/>
      <c r="K10" s="4" t="s">
        <v>42</v>
      </c>
      <c r="L10" s="5">
        <v>0.66246278447168405</v>
      </c>
      <c r="M10" s="5">
        <v>0.57660105374889103</v>
      </c>
      <c r="N10" s="5">
        <f t="shared" si="2"/>
        <v>1</v>
      </c>
      <c r="O10" s="9" t="s">
        <v>49</v>
      </c>
      <c r="P10" s="5" t="s">
        <v>43</v>
      </c>
      <c r="Q10" s="4">
        <v>-0.15501038502606601</v>
      </c>
      <c r="R10" s="4">
        <v>0.267000552970659</v>
      </c>
      <c r="S10" s="4">
        <f t="shared" si="3"/>
        <v>0</v>
      </c>
      <c r="T10" s="8"/>
      <c r="U10" s="4" t="s">
        <v>43</v>
      </c>
      <c r="V10" s="5">
        <v>-1.25564974306022E-2</v>
      </c>
      <c r="W10" s="5">
        <v>0.72179591645572105</v>
      </c>
      <c r="X10" s="5">
        <f t="shared" si="4"/>
        <v>0</v>
      </c>
      <c r="Y10" s="9"/>
      <c r="Z10" s="5" t="s">
        <v>41</v>
      </c>
      <c r="AA10" s="4">
        <v>3.18349435996265</v>
      </c>
      <c r="AB10" s="4">
        <v>0.74744842800353495</v>
      </c>
      <c r="AC10" s="4">
        <f t="shared" si="5"/>
        <v>1</v>
      </c>
      <c r="AD10" s="8" t="s">
        <v>52</v>
      </c>
      <c r="AE10" s="4" t="s">
        <v>41</v>
      </c>
      <c r="AF10" s="5">
        <v>0.56359047596547596</v>
      </c>
      <c r="AG10" s="5">
        <v>0.91680419097950805</v>
      </c>
      <c r="AH10" s="5">
        <f t="shared" si="6"/>
        <v>1</v>
      </c>
      <c r="AI10" s="9" t="s">
        <v>53</v>
      </c>
      <c r="AJ10" s="5" t="s">
        <v>41</v>
      </c>
      <c r="AK10" s="4">
        <v>-0.182969853391208</v>
      </c>
      <c r="AL10" s="4">
        <v>0.40508413888881101</v>
      </c>
      <c r="AM10" s="4">
        <f t="shared" si="7"/>
        <v>0</v>
      </c>
      <c r="AN10" s="8"/>
      <c r="AO10" s="4" t="s">
        <v>43</v>
      </c>
      <c r="AP10" s="5">
        <v>0.133333333333333</v>
      </c>
      <c r="AQ10" s="5">
        <v>0.34377582547616398</v>
      </c>
      <c r="AR10" s="5">
        <f t="shared" si="8"/>
        <v>0</v>
      </c>
      <c r="AS10" s="9"/>
      <c r="AT10" s="5" t="s">
        <v>41</v>
      </c>
      <c r="AU10" s="4">
        <v>0.11111111111111099</v>
      </c>
      <c r="AV10" s="4">
        <v>0.31782086308186402</v>
      </c>
      <c r="AW10" s="4">
        <f t="shared" si="9"/>
        <v>0</v>
      </c>
      <c r="AX10" s="8"/>
      <c r="AY10" s="4" t="s">
        <v>41</v>
      </c>
      <c r="AZ10" s="5">
        <v>0.11111111111111099</v>
      </c>
      <c r="BA10" s="5">
        <v>0.31782086308186402</v>
      </c>
      <c r="BB10" s="5">
        <f t="shared" si="10"/>
        <v>0</v>
      </c>
      <c r="BC10" s="9"/>
      <c r="BD10" s="5" t="s">
        <v>41</v>
      </c>
      <c r="BE10" s="4">
        <v>0</v>
      </c>
      <c r="BF10" s="4">
        <v>0</v>
      </c>
      <c r="BG10" s="4">
        <f t="shared" si="11"/>
        <v>0</v>
      </c>
      <c r="BH10" s="8"/>
      <c r="BI10" s="4" t="s">
        <v>43</v>
      </c>
      <c r="BJ10" s="5">
        <v>0.11111111111111099</v>
      </c>
      <c r="BK10" s="5">
        <v>0.31782086308186402</v>
      </c>
      <c r="BL10" s="5">
        <f t="shared" si="12"/>
        <v>1</v>
      </c>
      <c r="BM10" s="9" t="s">
        <v>61</v>
      </c>
      <c r="BN10" s="5" t="s">
        <v>41</v>
      </c>
      <c r="BO10" s="2" t="s">
        <v>44</v>
      </c>
    </row>
    <row r="11" spans="1:67" ht="30.85" customHeight="1" x14ac:dyDescent="0.45">
      <c r="A11" s="2">
        <v>28</v>
      </c>
      <c r="B11" s="3">
        <v>-0.50461706142445095</v>
      </c>
      <c r="C11" s="3">
        <v>0.24828217947303599</v>
      </c>
      <c r="D11" s="3">
        <f t="shared" si="0"/>
        <v>0</v>
      </c>
      <c r="E11" s="10"/>
      <c r="F11" s="3" t="s">
        <v>42</v>
      </c>
      <c r="G11" s="4">
        <v>-0.895192559413441</v>
      </c>
      <c r="H11" s="4">
        <v>0.18522556066516799</v>
      </c>
      <c r="I11" s="4">
        <f t="shared" si="1"/>
        <v>0</v>
      </c>
      <c r="J11" s="8"/>
      <c r="K11" s="4" t="s">
        <v>42</v>
      </c>
      <c r="L11" s="5">
        <v>0.70803305826087803</v>
      </c>
      <c r="M11" s="5">
        <v>0.28339427170807002</v>
      </c>
      <c r="N11" s="5">
        <f t="shared" si="2"/>
        <v>1</v>
      </c>
      <c r="O11" s="9" t="s">
        <v>49</v>
      </c>
      <c r="P11" s="5" t="s">
        <v>43</v>
      </c>
      <c r="Q11" s="4">
        <v>0.29105462303176999</v>
      </c>
      <c r="R11" s="4">
        <v>0.32532744830265597</v>
      </c>
      <c r="S11" s="4">
        <f t="shared" si="3"/>
        <v>1</v>
      </c>
      <c r="T11" s="8" t="s">
        <v>50</v>
      </c>
      <c r="U11" s="4" t="s">
        <v>41</v>
      </c>
      <c r="V11" s="5">
        <v>-0.35725622712406302</v>
      </c>
      <c r="W11" s="5">
        <v>0.30478580358973001</v>
      </c>
      <c r="X11" s="5">
        <f t="shared" si="4"/>
        <v>0</v>
      </c>
      <c r="Y11" s="9"/>
      <c r="Z11" s="5" t="s">
        <v>43</v>
      </c>
      <c r="AA11" s="4">
        <v>-0.29680723998378999</v>
      </c>
      <c r="AB11" s="4">
        <v>0.15196529574301201</v>
      </c>
      <c r="AC11" s="4">
        <f t="shared" si="5"/>
        <v>0</v>
      </c>
      <c r="AD11" s="8"/>
      <c r="AE11" s="4" t="s">
        <v>43</v>
      </c>
      <c r="AF11" s="5">
        <v>-0.76855624896708197</v>
      </c>
      <c r="AG11" s="5">
        <v>0.10243211709747201</v>
      </c>
      <c r="AH11" s="5">
        <f t="shared" si="6"/>
        <v>0</v>
      </c>
      <c r="AI11" s="9"/>
      <c r="AJ11" s="5" t="s">
        <v>42</v>
      </c>
      <c r="AK11" s="4">
        <v>-0.81486754874275202</v>
      </c>
      <c r="AL11" s="4">
        <v>8.5633184952923394E-2</v>
      </c>
      <c r="AM11" s="4">
        <f t="shared" si="7"/>
        <v>0</v>
      </c>
      <c r="AN11" s="8"/>
      <c r="AO11" s="4" t="s">
        <v>42</v>
      </c>
      <c r="AP11" s="5">
        <v>4.3478260869565202E-2</v>
      </c>
      <c r="AQ11" s="5">
        <v>0.20504855915155601</v>
      </c>
      <c r="AR11" s="5">
        <f t="shared" si="8"/>
        <v>0</v>
      </c>
      <c r="AS11" s="9"/>
      <c r="AT11" s="5" t="s">
        <v>41</v>
      </c>
      <c r="AU11" s="4">
        <v>0.23913043478260901</v>
      </c>
      <c r="AV11" s="4">
        <v>0.42888983235128603</v>
      </c>
      <c r="AW11" s="4">
        <f t="shared" si="9"/>
        <v>1</v>
      </c>
      <c r="AX11" s="8" t="s">
        <v>57</v>
      </c>
      <c r="AY11" s="4" t="s">
        <v>41</v>
      </c>
      <c r="AZ11" s="5">
        <v>2.1739130434782601E-2</v>
      </c>
      <c r="BA11" s="5">
        <v>0.14662959759729</v>
      </c>
      <c r="BB11" s="5">
        <f t="shared" si="10"/>
        <v>0</v>
      </c>
      <c r="BC11" s="9"/>
      <c r="BD11" s="5" t="s">
        <v>41</v>
      </c>
      <c r="BE11" s="4">
        <v>3.2608695652173898E-2</v>
      </c>
      <c r="BF11" s="4">
        <v>0.178583372749133</v>
      </c>
      <c r="BG11" s="4">
        <f t="shared" si="11"/>
        <v>1</v>
      </c>
      <c r="BH11" s="8" t="s">
        <v>59</v>
      </c>
      <c r="BI11" s="4" t="s">
        <v>41</v>
      </c>
      <c r="BJ11" s="5">
        <v>0</v>
      </c>
      <c r="BK11" s="5">
        <v>0</v>
      </c>
      <c r="BL11" s="5">
        <f t="shared" si="12"/>
        <v>0</v>
      </c>
      <c r="BM11" s="9"/>
      <c r="BN11" s="5" t="s">
        <v>43</v>
      </c>
      <c r="BO11" s="2" t="s">
        <v>44</v>
      </c>
    </row>
    <row r="12" spans="1:67" ht="30.85" customHeight="1" x14ac:dyDescent="0.45">
      <c r="A12" s="2">
        <v>29</v>
      </c>
      <c r="B12" s="3">
        <v>-0.48012989074552698</v>
      </c>
      <c r="C12" s="3">
        <v>0.48742091307966301</v>
      </c>
      <c r="D12" s="3">
        <f t="shared" si="0"/>
        <v>0</v>
      </c>
      <c r="E12" s="10"/>
      <c r="F12" s="3" t="s">
        <v>42</v>
      </c>
      <c r="G12" s="4">
        <v>-5.5321782640842997E-2</v>
      </c>
      <c r="H12" s="4">
        <v>0.43420449863713501</v>
      </c>
      <c r="I12" s="4">
        <f t="shared" si="1"/>
        <v>0</v>
      </c>
      <c r="J12" s="8"/>
      <c r="K12" s="4" t="s">
        <v>43</v>
      </c>
      <c r="L12" s="5">
        <v>0.49641766388690201</v>
      </c>
      <c r="M12" s="5">
        <v>0.27089676507204702</v>
      </c>
      <c r="N12" s="5">
        <f t="shared" si="2"/>
        <v>1</v>
      </c>
      <c r="O12" s="9" t="s">
        <v>49</v>
      </c>
      <c r="P12" s="5" t="s">
        <v>43</v>
      </c>
      <c r="Q12" s="4">
        <v>-0.40278157774777101</v>
      </c>
      <c r="R12" s="4">
        <v>4.0029710232682598E-2</v>
      </c>
      <c r="S12" s="4">
        <f t="shared" si="3"/>
        <v>0</v>
      </c>
      <c r="T12" s="8"/>
      <c r="U12" s="4" t="s">
        <v>42</v>
      </c>
      <c r="V12" s="5">
        <v>3.8335656191602001</v>
      </c>
      <c r="W12" s="5">
        <v>0.96555135501022005</v>
      </c>
      <c r="X12" s="5">
        <f t="shared" si="4"/>
        <v>1</v>
      </c>
      <c r="Y12" s="9" t="s">
        <v>51</v>
      </c>
      <c r="Z12" s="5" t="s">
        <v>41</v>
      </c>
      <c r="AA12" s="4">
        <v>0.59925838090439099</v>
      </c>
      <c r="AB12" s="4">
        <v>1.3610043919491399</v>
      </c>
      <c r="AC12" s="4">
        <f t="shared" si="5"/>
        <v>1</v>
      </c>
      <c r="AD12" s="8" t="s">
        <v>52</v>
      </c>
      <c r="AE12" s="4" t="s">
        <v>41</v>
      </c>
      <c r="AF12" s="5">
        <v>2.4234810771396198</v>
      </c>
      <c r="AG12" s="5">
        <v>9.1650247589353404E-2</v>
      </c>
      <c r="AH12" s="5">
        <f t="shared" si="6"/>
        <v>1</v>
      </c>
      <c r="AI12" s="9" t="s">
        <v>53</v>
      </c>
      <c r="AJ12" s="5" t="s">
        <v>41</v>
      </c>
      <c r="AK12" s="4">
        <v>-0.243912633230463</v>
      </c>
      <c r="AL12" s="4">
        <v>0.126027178207234</v>
      </c>
      <c r="AM12" s="4">
        <f t="shared" si="7"/>
        <v>0</v>
      </c>
      <c r="AN12" s="8"/>
      <c r="AO12" s="4" t="s">
        <v>43</v>
      </c>
      <c r="AP12" s="5">
        <v>0</v>
      </c>
      <c r="AQ12" s="5">
        <v>0</v>
      </c>
      <c r="AR12" s="5">
        <f t="shared" si="8"/>
        <v>0</v>
      </c>
      <c r="AS12" s="9"/>
      <c r="AT12" s="5" t="s">
        <v>43</v>
      </c>
      <c r="AU12" s="4">
        <v>2.2222222222222199E-2</v>
      </c>
      <c r="AV12" s="4">
        <v>0.14907119849998601</v>
      </c>
      <c r="AW12" s="4">
        <f t="shared" si="9"/>
        <v>0</v>
      </c>
      <c r="AX12" s="8"/>
      <c r="AY12" s="4" t="s">
        <v>41</v>
      </c>
      <c r="AZ12" s="5">
        <v>0.24444444444444399</v>
      </c>
      <c r="BA12" s="5">
        <v>0.43461349368017699</v>
      </c>
      <c r="BB12" s="5">
        <f t="shared" si="10"/>
        <v>1</v>
      </c>
      <c r="BC12" s="9" t="s">
        <v>58</v>
      </c>
      <c r="BD12" s="5" t="s">
        <v>41</v>
      </c>
      <c r="BE12" s="4">
        <v>0</v>
      </c>
      <c r="BF12" s="4">
        <v>0</v>
      </c>
      <c r="BG12" s="4">
        <f t="shared" si="11"/>
        <v>0</v>
      </c>
      <c r="BH12" s="8"/>
      <c r="BI12" s="4" t="s">
        <v>43</v>
      </c>
      <c r="BJ12" s="5">
        <v>0.11111111111111099</v>
      </c>
      <c r="BK12" s="5">
        <v>0.31782086308186402</v>
      </c>
      <c r="BL12" s="5">
        <f t="shared" si="12"/>
        <v>1</v>
      </c>
      <c r="BM12" s="9" t="s">
        <v>61</v>
      </c>
      <c r="BN12" s="5" t="s">
        <v>41</v>
      </c>
      <c r="BO12" s="2" t="s">
        <v>44</v>
      </c>
    </row>
    <row r="13" spans="1:67" ht="30.85" customHeight="1" x14ac:dyDescent="0.45">
      <c r="A13" s="13">
        <v>30</v>
      </c>
      <c r="B13" s="13">
        <v>2.1362745948483002</v>
      </c>
      <c r="C13" s="13">
        <v>0.57200732467070903</v>
      </c>
      <c r="D13" s="13">
        <f t="shared" si="0"/>
        <v>1</v>
      </c>
      <c r="E13" s="14" t="s">
        <v>47</v>
      </c>
      <c r="F13" s="13" t="s">
        <v>41</v>
      </c>
      <c r="G13" s="13">
        <v>0.96890275578722096</v>
      </c>
      <c r="H13" s="13">
        <v>0.47517978639101799</v>
      </c>
      <c r="I13" s="13">
        <f t="shared" si="1"/>
        <v>1</v>
      </c>
      <c r="J13" s="14" t="s">
        <v>48</v>
      </c>
      <c r="K13" s="13" t="s">
        <v>41</v>
      </c>
      <c r="L13" s="13">
        <v>-0.89414041544440004</v>
      </c>
      <c r="M13" s="13">
        <v>0.43386505200268899</v>
      </c>
      <c r="N13" s="13">
        <f t="shared" si="2"/>
        <v>0</v>
      </c>
      <c r="O13" s="14"/>
      <c r="P13" s="13" t="s">
        <v>42</v>
      </c>
      <c r="Q13" s="13">
        <v>-0.150909363779371</v>
      </c>
      <c r="R13" s="13">
        <v>0.26630533639419002</v>
      </c>
      <c r="S13" s="13">
        <f t="shared" si="3"/>
        <v>0</v>
      </c>
      <c r="T13" s="14"/>
      <c r="U13" s="13" t="s">
        <v>43</v>
      </c>
      <c r="V13" s="13">
        <v>7.4839692662250101E-2</v>
      </c>
      <c r="W13" s="13">
        <v>0.63694043181952098</v>
      </c>
      <c r="X13" s="13">
        <f t="shared" si="4"/>
        <v>0</v>
      </c>
      <c r="Y13" s="14"/>
      <c r="Z13" s="13" t="s">
        <v>41</v>
      </c>
      <c r="AA13" s="13">
        <v>-0.22310933854085399</v>
      </c>
      <c r="AB13" s="13">
        <v>0.31065048885184199</v>
      </c>
      <c r="AC13" s="13">
        <f t="shared" si="5"/>
        <v>0</v>
      </c>
      <c r="AD13" s="14"/>
      <c r="AE13" s="13" t="s">
        <v>43</v>
      </c>
      <c r="AF13" s="13">
        <v>-0.35366745308470798</v>
      </c>
      <c r="AG13" s="13">
        <v>0.18774615687085899</v>
      </c>
      <c r="AH13" s="13">
        <f t="shared" si="6"/>
        <v>0</v>
      </c>
      <c r="AI13" s="14"/>
      <c r="AJ13" s="13" t="s">
        <v>42</v>
      </c>
      <c r="AK13" s="13">
        <v>0.53268322219546904</v>
      </c>
      <c r="AL13" s="13">
        <v>0.49940154514111301</v>
      </c>
      <c r="AM13" s="13">
        <f t="shared" si="7"/>
        <v>1</v>
      </c>
      <c r="AN13" s="14" t="s">
        <v>55</v>
      </c>
      <c r="AO13" s="13" t="s">
        <v>41</v>
      </c>
      <c r="AP13" s="13">
        <v>0</v>
      </c>
      <c r="AQ13" s="13">
        <v>0</v>
      </c>
      <c r="AR13" s="13">
        <f t="shared" si="8"/>
        <v>0</v>
      </c>
      <c r="AS13" s="14"/>
      <c r="AT13" s="13" t="s">
        <v>43</v>
      </c>
      <c r="AU13" s="13">
        <v>0.11363636363636399</v>
      </c>
      <c r="AV13" s="13">
        <v>0.32103822064054999</v>
      </c>
      <c r="AW13" s="13">
        <f t="shared" si="9"/>
        <v>0</v>
      </c>
      <c r="AX13" s="14"/>
      <c r="AY13" s="13" t="s">
        <v>41</v>
      </c>
      <c r="AZ13" s="13">
        <v>2.27272727272727E-2</v>
      </c>
      <c r="BA13" s="13">
        <v>0.15075567228888201</v>
      </c>
      <c r="BB13" s="13">
        <f t="shared" si="10"/>
        <v>0</v>
      </c>
      <c r="BC13" s="14"/>
      <c r="BD13" s="13" t="s">
        <v>41</v>
      </c>
      <c r="BE13" s="13">
        <v>0</v>
      </c>
      <c r="BF13" s="13">
        <v>0</v>
      </c>
      <c r="BG13" s="13">
        <f t="shared" si="11"/>
        <v>0</v>
      </c>
      <c r="BH13" s="14"/>
      <c r="BI13" s="13" t="s">
        <v>43</v>
      </c>
      <c r="BJ13" s="13">
        <v>0</v>
      </c>
      <c r="BK13" s="13">
        <v>0</v>
      </c>
      <c r="BL13" s="13">
        <f t="shared" si="12"/>
        <v>0</v>
      </c>
      <c r="BM13" s="14"/>
      <c r="BN13" s="13" t="s">
        <v>43</v>
      </c>
      <c r="BO13" s="13" t="s">
        <v>44</v>
      </c>
    </row>
    <row r="14" spans="1:67" ht="30.85" customHeight="1" x14ac:dyDescent="0.45">
      <c r="A14" s="2">
        <v>34</v>
      </c>
      <c r="B14" s="3">
        <v>-0.55784137654549404</v>
      </c>
      <c r="C14" s="3">
        <v>0.24308908008458999</v>
      </c>
      <c r="D14" s="3">
        <f t="shared" si="0"/>
        <v>0</v>
      </c>
      <c r="E14" s="10"/>
      <c r="F14" s="3" t="s">
        <v>42</v>
      </c>
      <c r="G14" s="4">
        <v>-0.35445874940983002</v>
      </c>
      <c r="H14" s="4">
        <v>0.43863018014296501</v>
      </c>
      <c r="I14" s="4">
        <f t="shared" si="1"/>
        <v>0</v>
      </c>
      <c r="J14" s="8"/>
      <c r="K14" s="4" t="s">
        <v>42</v>
      </c>
      <c r="L14" s="5">
        <v>0.67910744984222904</v>
      </c>
      <c r="M14" s="5">
        <v>0.28170890901714801</v>
      </c>
      <c r="N14" s="5">
        <f t="shared" si="2"/>
        <v>1</v>
      </c>
      <c r="O14" s="9" t="s">
        <v>49</v>
      </c>
      <c r="P14" s="5" t="s">
        <v>43</v>
      </c>
      <c r="Q14" s="4">
        <v>-0.38470738137951099</v>
      </c>
      <c r="R14" s="4">
        <v>6.6306477604702596E-2</v>
      </c>
      <c r="S14" s="4">
        <f t="shared" si="3"/>
        <v>0</v>
      </c>
      <c r="T14" s="8"/>
      <c r="U14" s="4" t="s">
        <v>42</v>
      </c>
      <c r="V14" s="5">
        <v>1.8836617692405</v>
      </c>
      <c r="W14" s="5">
        <v>0.59681777265837099</v>
      </c>
      <c r="X14" s="5">
        <f t="shared" si="4"/>
        <v>1</v>
      </c>
      <c r="Y14" s="9" t="s">
        <v>51</v>
      </c>
      <c r="Z14" s="5" t="s">
        <v>41</v>
      </c>
      <c r="AA14" s="4">
        <v>2.48403579660854E-2</v>
      </c>
      <c r="AB14" s="4">
        <v>0.65041528684244199</v>
      </c>
      <c r="AC14" s="4">
        <f t="shared" si="5"/>
        <v>0</v>
      </c>
      <c r="AD14" s="8"/>
      <c r="AE14" s="4" t="s">
        <v>41</v>
      </c>
      <c r="AF14" s="5">
        <v>2.3228342319337201</v>
      </c>
      <c r="AG14" s="5">
        <v>0.214047010778221</v>
      </c>
      <c r="AH14" s="5">
        <f t="shared" si="6"/>
        <v>1</v>
      </c>
      <c r="AI14" s="9" t="s">
        <v>53</v>
      </c>
      <c r="AJ14" s="5" t="s">
        <v>41</v>
      </c>
      <c r="AK14" s="4">
        <v>-0.290018024789988</v>
      </c>
      <c r="AL14" s="4">
        <v>0.12862461555106</v>
      </c>
      <c r="AM14" s="4">
        <f t="shared" si="7"/>
        <v>0</v>
      </c>
      <c r="AN14" s="8"/>
      <c r="AO14" s="4" t="s">
        <v>43</v>
      </c>
      <c r="AP14" s="5">
        <v>0</v>
      </c>
      <c r="AQ14" s="5">
        <v>0</v>
      </c>
      <c r="AR14" s="5">
        <f t="shared" si="8"/>
        <v>0</v>
      </c>
      <c r="AS14" s="9"/>
      <c r="AT14" s="5" t="s">
        <v>43</v>
      </c>
      <c r="AU14" s="4">
        <v>2.6315789473684199E-2</v>
      </c>
      <c r="AV14" s="4">
        <v>0.16222142113076299</v>
      </c>
      <c r="AW14" s="4">
        <f t="shared" si="9"/>
        <v>0</v>
      </c>
      <c r="AX14" s="8"/>
      <c r="AY14" s="4" t="s">
        <v>41</v>
      </c>
      <c r="AZ14" s="5">
        <v>0.157894736842105</v>
      </c>
      <c r="BA14" s="5">
        <v>0.36953702147663198</v>
      </c>
      <c r="BB14" s="5">
        <f t="shared" si="10"/>
        <v>1</v>
      </c>
      <c r="BC14" s="9" t="s">
        <v>58</v>
      </c>
      <c r="BD14" s="5" t="s">
        <v>41</v>
      </c>
      <c r="BE14" s="4">
        <v>0</v>
      </c>
      <c r="BF14" s="4">
        <v>0</v>
      </c>
      <c r="BG14" s="4">
        <f t="shared" si="11"/>
        <v>0</v>
      </c>
      <c r="BH14" s="8"/>
      <c r="BI14" s="4" t="s">
        <v>43</v>
      </c>
      <c r="BJ14" s="5">
        <v>0.105263157894737</v>
      </c>
      <c r="BK14" s="5">
        <v>0.31101174777590501</v>
      </c>
      <c r="BL14" s="5">
        <f t="shared" si="12"/>
        <v>1</v>
      </c>
      <c r="BM14" s="9" t="s">
        <v>61</v>
      </c>
      <c r="BN14" s="5" t="s">
        <v>41</v>
      </c>
      <c r="BO14" s="2" t="s">
        <v>44</v>
      </c>
    </row>
    <row r="15" spans="1:67" ht="30.85" customHeight="1" x14ac:dyDescent="0.45">
      <c r="A15" s="2"/>
      <c r="B15" s="6">
        <f>AVERAGE(B2:B14)</f>
        <v>0.22331511675987903</v>
      </c>
      <c r="C15" s="6">
        <f>SQRT(SUMSQ(C2:C14) )/ COUNT(C2:C14)</f>
        <v>0.15265521846611327</v>
      </c>
      <c r="D15" s="7">
        <f>SUM(B15:C15)</f>
        <v>0.37597033522599232</v>
      </c>
      <c r="E15" s="2"/>
      <c r="F15" s="2"/>
      <c r="G15" s="6">
        <f>AVERAGE(G2:G14)</f>
        <v>0.25619852285966493</v>
      </c>
      <c r="H15" s="6">
        <f>SQRT(SUMSQ(H2:H14) )/ COUNT(H2:H14)</f>
        <v>0.10543034372818338</v>
      </c>
      <c r="I15" s="7">
        <f>SUM(G15:H15)</f>
        <v>0.36162886658784832</v>
      </c>
      <c r="J15" s="2"/>
      <c r="K15" s="2"/>
      <c r="L15" s="6">
        <f>AVERAGE(L2:L14)</f>
        <v>-9.4842170641782797E-2</v>
      </c>
      <c r="M15" s="6">
        <f>SQRT(SUMSQ(M2:M14) )/ COUNT(M2:M14)</f>
        <v>9.0381616936515918E-2</v>
      </c>
      <c r="N15" s="7">
        <f>SUM(L15:M15)</f>
        <v>-4.4605537052668787E-3</v>
      </c>
      <c r="O15" s="2"/>
      <c r="P15" s="2"/>
      <c r="Q15" s="6">
        <f>AVERAGE(Q2:Q14)</f>
        <v>-4.1449846088956145E-3</v>
      </c>
      <c r="R15" s="6">
        <f>SQRT(SUMSQ(R2:R14) )/ COUNT(R2:R14)</f>
        <v>7.9896212752725862E-2</v>
      </c>
      <c r="S15" s="7">
        <f>SUM(Q15:R15)</f>
        <v>7.5751228143830243E-2</v>
      </c>
      <c r="T15" s="2"/>
      <c r="U15" s="2"/>
      <c r="V15" s="6">
        <f>AVERAGE(V2:V14)</f>
        <v>0.56009779797366677</v>
      </c>
      <c r="W15" s="6">
        <f>SQRT(SUMSQ(W2:W14) )/ COUNT(W2:W14)</f>
        <v>0.17697662021720198</v>
      </c>
      <c r="X15" s="7">
        <f>SUM(V15:W15)</f>
        <v>0.73707441819086872</v>
      </c>
      <c r="Y15" s="2"/>
      <c r="Z15" s="2"/>
      <c r="AA15" s="6">
        <f>AVERAGE(AA2:AA14)</f>
        <v>0.15374964838429345</v>
      </c>
      <c r="AB15" s="6">
        <f>SQRT(SUMSQ(AB2:AB14) )/ COUNT(AB2:AB14)</f>
        <v>0.15982840066829895</v>
      </c>
      <c r="AC15" s="7">
        <f>SUM(AA15:AB15)</f>
        <v>0.3135780490525924</v>
      </c>
      <c r="AD15" s="2"/>
      <c r="AE15" s="2"/>
      <c r="AF15" s="6">
        <f>AVERAGE(AF2:AF14)</f>
        <v>9.7944725083572451E-2</v>
      </c>
      <c r="AG15" s="6">
        <f>SQRT(SUMSQ(AG2:AG14) )/ COUNT(AG2:AG14)</f>
        <v>8.4530506187483798E-2</v>
      </c>
      <c r="AH15" s="7">
        <f>SUM(AF15:AG15)</f>
        <v>0.18247523127105625</v>
      </c>
      <c r="AI15" s="2"/>
      <c r="AJ15" s="2"/>
      <c r="AK15" s="6">
        <f>AVERAGE(AK2:AK14)</f>
        <v>0.22838237931481498</v>
      </c>
      <c r="AL15" s="6">
        <f>SQRT(SUMSQ(AL2:AL14) )/ COUNT(AL2:AL14)</f>
        <v>0.11123778809363036</v>
      </c>
      <c r="AM15" s="7">
        <f>SUM(AK15:AL15)</f>
        <v>0.33962016740844536</v>
      </c>
      <c r="AN15" s="2"/>
      <c r="AO15" s="2"/>
      <c r="AP15" s="6">
        <f>AVERAGE(AP2:AP14)</f>
        <v>0.16637086597619277</v>
      </c>
      <c r="AQ15" s="6">
        <f>SQRT(SUMSQ(AQ2:AQ14) )/ COUNT(AQ2:AQ14)</f>
        <v>7.061978217632825E-2</v>
      </c>
      <c r="AR15" s="7">
        <f>SUM(AP15:AQ15)</f>
        <v>0.23699064815252102</v>
      </c>
      <c r="AS15" s="2"/>
      <c r="AT15" s="2"/>
      <c r="AU15" s="6">
        <f>AVERAGE(AU2:AU14)</f>
        <v>0.14135148371012321</v>
      </c>
      <c r="AV15" s="6">
        <f>SQRT(SUMSQ(AV2:AV14) )/ COUNT(AV2:AV14)</f>
        <v>8.4938847625610533E-2</v>
      </c>
      <c r="AW15" s="7">
        <f>SUM(AU15:AV15)</f>
        <v>0.22629033133573373</v>
      </c>
      <c r="AX15" s="2"/>
      <c r="AY15" s="2"/>
      <c r="AZ15" s="6">
        <f>AVERAGE(AZ2:AZ14)</f>
        <v>8.2086816016491843E-2</v>
      </c>
      <c r="BA15" s="6">
        <f>SQRT(SUMSQ(BA2:BA14) )/ COUNT(BA2:BA14)</f>
        <v>7.4126820366894428E-2</v>
      </c>
      <c r="BB15" s="7">
        <f>SUM(AZ15:BA15)</f>
        <v>0.15621363638338626</v>
      </c>
      <c r="BC15" s="2"/>
      <c r="BD15" s="2"/>
      <c r="BE15" s="6">
        <f>AVERAGE(BE2:BE14)</f>
        <v>3.5478622435144154E-3</v>
      </c>
      <c r="BF15" s="6">
        <f>SQRT(SUMSQ(BF2:BF14) )/ COUNT(BF2:BF14)</f>
        <v>1.6391211120230977E-2</v>
      </c>
      <c r="BG15" s="7">
        <f>SUM(BE15:BF15)</f>
        <v>1.9939073363745393E-2</v>
      </c>
      <c r="BH15" s="2"/>
      <c r="BI15" s="2"/>
      <c r="BJ15" s="6">
        <f>AVERAGE(BJ2:BJ14)</f>
        <v>4.7296852092328874E-2</v>
      </c>
      <c r="BK15" s="6">
        <f>SQRT(SUMSQ(BK2:BK14) )/ COUNT(BK2:BK14)</f>
        <v>5.7526070868820015E-2</v>
      </c>
      <c r="BL15" s="7">
        <f>SUM(BJ15:BK15)</f>
        <v>0.1048229229611489</v>
      </c>
      <c r="BM15" s="2"/>
      <c r="BN15" s="2"/>
      <c r="BO15" s="2"/>
    </row>
    <row r="16" spans="1:67" ht="30.85" customHeight="1" x14ac:dyDescent="0.45">
      <c r="D16" s="1">
        <f>B15+(C15/2)</f>
        <v>0.29964272599293568</v>
      </c>
      <c r="I16" s="1">
        <f>G15+(H15/2)</f>
        <v>0.30891369472375663</v>
      </c>
      <c r="AH16" s="1">
        <f>AF15+(AG15/2)</f>
        <v>0.14020997817731434</v>
      </c>
    </row>
    <row r="21" spans="1:15" ht="30.85" customHeight="1" x14ac:dyDescent="0.45">
      <c r="A21" s="2" t="s">
        <v>0</v>
      </c>
      <c r="B21" s="2" t="s">
        <v>47</v>
      </c>
      <c r="C21" s="2" t="s">
        <v>48</v>
      </c>
      <c r="D21" s="2" t="s">
        <v>49</v>
      </c>
      <c r="E21" s="2" t="s">
        <v>50</v>
      </c>
      <c r="F21" s="2" t="s">
        <v>51</v>
      </c>
      <c r="G21" s="2" t="s">
        <v>52</v>
      </c>
      <c r="H21" s="2" t="s">
        <v>53</v>
      </c>
      <c r="I21" s="2" t="s">
        <v>55</v>
      </c>
      <c r="J21" s="2" t="s">
        <v>56</v>
      </c>
      <c r="K21" s="2" t="s">
        <v>57</v>
      </c>
      <c r="L21" s="2" t="s">
        <v>58</v>
      </c>
      <c r="M21" s="2" t="s">
        <v>59</v>
      </c>
      <c r="N21" s="2" t="s">
        <v>61</v>
      </c>
    </row>
    <row r="22" spans="1:15" ht="30.85" customHeight="1" x14ac:dyDescent="0.45">
      <c r="A22" s="2">
        <v>1</v>
      </c>
      <c r="B22" s="10"/>
      <c r="C22" s="8" t="s">
        <v>48</v>
      </c>
      <c r="D22" s="9"/>
      <c r="E22" s="8" t="s">
        <v>50</v>
      </c>
      <c r="F22" s="9" t="s">
        <v>51</v>
      </c>
      <c r="G22" s="8"/>
      <c r="H22" s="9"/>
      <c r="I22" s="8" t="s">
        <v>55</v>
      </c>
      <c r="J22" s="9"/>
      <c r="K22" s="8"/>
      <c r="L22" s="9"/>
      <c r="M22" s="8"/>
      <c r="N22" s="9"/>
      <c r="O22" s="1">
        <v>4</v>
      </c>
    </row>
    <row r="23" spans="1:15" ht="30.85" customHeight="1" x14ac:dyDescent="0.45">
      <c r="A23" s="11">
        <v>12</v>
      </c>
      <c r="B23" s="12" t="s">
        <v>47</v>
      </c>
      <c r="C23" s="12" t="s">
        <v>48</v>
      </c>
      <c r="D23" s="12" t="s">
        <v>42</v>
      </c>
      <c r="E23" s="12" t="s">
        <v>42</v>
      </c>
      <c r="F23" s="12" t="s">
        <v>42</v>
      </c>
      <c r="G23" s="12" t="s">
        <v>43</v>
      </c>
      <c r="H23" s="12" t="s">
        <v>43</v>
      </c>
      <c r="I23" s="12" t="s">
        <v>55</v>
      </c>
      <c r="J23" s="12" t="s">
        <v>56</v>
      </c>
      <c r="K23" s="12" t="s">
        <v>41</v>
      </c>
      <c r="L23" s="12" t="s">
        <v>41</v>
      </c>
      <c r="M23" s="12" t="s">
        <v>43</v>
      </c>
      <c r="N23" s="12" t="s">
        <v>43</v>
      </c>
      <c r="O23" s="1">
        <v>4</v>
      </c>
    </row>
    <row r="24" spans="1:15" ht="30.85" customHeight="1" x14ac:dyDescent="0.45">
      <c r="A24" s="2">
        <v>14</v>
      </c>
      <c r="B24" s="10"/>
      <c r="C24" s="8" t="s">
        <v>48</v>
      </c>
      <c r="D24" s="9"/>
      <c r="E24" s="8"/>
      <c r="F24" s="9"/>
      <c r="G24" s="8"/>
      <c r="H24" s="9"/>
      <c r="I24" s="8" t="s">
        <v>55</v>
      </c>
      <c r="J24" s="9" t="s">
        <v>56</v>
      </c>
      <c r="K24" s="8" t="s">
        <v>57</v>
      </c>
      <c r="L24" s="9" t="s">
        <v>58</v>
      </c>
      <c r="M24" s="8"/>
      <c r="N24" s="9"/>
      <c r="O24" s="1">
        <v>5</v>
      </c>
    </row>
    <row r="25" spans="1:15" ht="30.85" customHeight="1" x14ac:dyDescent="0.45">
      <c r="A25" s="2">
        <v>20</v>
      </c>
      <c r="B25" s="10"/>
      <c r="C25" s="8" t="s">
        <v>48</v>
      </c>
      <c r="D25" s="9"/>
      <c r="E25" s="8"/>
      <c r="F25" s="9"/>
      <c r="G25" s="8"/>
      <c r="H25" s="9" t="s">
        <v>54</v>
      </c>
      <c r="I25" s="8" t="s">
        <v>55</v>
      </c>
      <c r="J25" s="9" t="s">
        <v>56</v>
      </c>
      <c r="K25" s="8" t="s">
        <v>57</v>
      </c>
      <c r="L25" s="9"/>
      <c r="M25" s="8"/>
      <c r="N25" s="9"/>
      <c r="O25" s="1">
        <v>4.5</v>
      </c>
    </row>
    <row r="26" spans="1:15" ht="30.85" customHeight="1" x14ac:dyDescent="0.45">
      <c r="A26" s="11">
        <v>21</v>
      </c>
      <c r="B26" s="12" t="s">
        <v>47</v>
      </c>
      <c r="C26" s="12" t="s">
        <v>48</v>
      </c>
      <c r="D26" s="12" t="s">
        <v>42</v>
      </c>
      <c r="E26" s="12" t="s">
        <v>42</v>
      </c>
      <c r="F26" s="12" t="s">
        <v>42</v>
      </c>
      <c r="G26" s="12" t="s">
        <v>41</v>
      </c>
      <c r="H26" s="12" t="s">
        <v>42</v>
      </c>
      <c r="I26" s="12" t="s">
        <v>55</v>
      </c>
      <c r="J26" s="12" t="s">
        <v>41</v>
      </c>
      <c r="K26" s="12" t="s">
        <v>41</v>
      </c>
      <c r="L26" s="12" t="s">
        <v>41</v>
      </c>
      <c r="M26" s="12" t="s">
        <v>43</v>
      </c>
      <c r="N26" s="12" t="s">
        <v>41</v>
      </c>
      <c r="O26" s="1">
        <v>3</v>
      </c>
    </row>
    <row r="27" spans="1:15" ht="30.85" customHeight="1" x14ac:dyDescent="0.45">
      <c r="A27" s="11">
        <v>22</v>
      </c>
      <c r="B27" s="12" t="s">
        <v>47</v>
      </c>
      <c r="C27" s="12" t="s">
        <v>43</v>
      </c>
      <c r="D27" s="12" t="s">
        <v>42</v>
      </c>
      <c r="E27" s="12" t="s">
        <v>43</v>
      </c>
      <c r="F27" s="12" t="s">
        <v>43</v>
      </c>
      <c r="G27" s="12" t="s">
        <v>41</v>
      </c>
      <c r="H27" s="12" t="s">
        <v>42</v>
      </c>
      <c r="I27" s="12" t="s">
        <v>42</v>
      </c>
      <c r="J27" s="12" t="s">
        <v>41</v>
      </c>
      <c r="K27" s="12" t="s">
        <v>41</v>
      </c>
      <c r="L27" s="12" t="s">
        <v>41</v>
      </c>
      <c r="M27" s="12" t="s">
        <v>43</v>
      </c>
      <c r="N27" s="12" t="s">
        <v>62</v>
      </c>
      <c r="O27" s="1">
        <v>1.5</v>
      </c>
    </row>
    <row r="28" spans="1:15" ht="30.85" customHeight="1" x14ac:dyDescent="0.45">
      <c r="A28" s="2">
        <v>23</v>
      </c>
      <c r="B28" s="10"/>
      <c r="C28" s="8"/>
      <c r="D28" s="9" t="s">
        <v>49</v>
      </c>
      <c r="E28" s="8" t="s">
        <v>50</v>
      </c>
      <c r="F28" s="9"/>
      <c r="G28" s="8"/>
      <c r="H28" s="9"/>
      <c r="I28" s="8"/>
      <c r="J28" s="9"/>
      <c r="K28" s="8"/>
      <c r="L28" s="9"/>
      <c r="M28" s="8" t="s">
        <v>60</v>
      </c>
      <c r="N28" s="9"/>
      <c r="O28" s="1">
        <v>2.5</v>
      </c>
    </row>
    <row r="29" spans="1:15" ht="30.85" customHeight="1" x14ac:dyDescent="0.45">
      <c r="A29" s="2">
        <v>24</v>
      </c>
      <c r="B29" s="10"/>
      <c r="C29" s="8"/>
      <c r="D29" s="9" t="s">
        <v>49</v>
      </c>
      <c r="E29" s="8" t="s">
        <v>50</v>
      </c>
      <c r="F29" s="9"/>
      <c r="G29" s="8"/>
      <c r="H29" s="9"/>
      <c r="I29" s="8"/>
      <c r="J29" s="9"/>
      <c r="K29" s="8"/>
      <c r="L29" s="9"/>
      <c r="M29" s="8"/>
      <c r="N29" s="9" t="s">
        <v>61</v>
      </c>
      <c r="O29" s="1">
        <v>3</v>
      </c>
    </row>
    <row r="30" spans="1:15" ht="30.85" customHeight="1" x14ac:dyDescent="0.45">
      <c r="A30" s="2">
        <v>27</v>
      </c>
      <c r="B30" s="10"/>
      <c r="C30" s="8"/>
      <c r="D30" s="9" t="s">
        <v>49</v>
      </c>
      <c r="E30" s="8"/>
      <c r="F30" s="9"/>
      <c r="G30" s="8" t="s">
        <v>52</v>
      </c>
      <c r="H30" s="9" t="s">
        <v>53</v>
      </c>
      <c r="I30" s="8"/>
      <c r="J30" s="9"/>
      <c r="K30" s="8"/>
      <c r="L30" s="9"/>
      <c r="M30" s="8"/>
      <c r="N30" s="9" t="s">
        <v>61</v>
      </c>
      <c r="O30" s="1">
        <v>4</v>
      </c>
    </row>
    <row r="31" spans="1:15" ht="30.85" customHeight="1" x14ac:dyDescent="0.45">
      <c r="A31" s="2">
        <v>28</v>
      </c>
      <c r="B31" s="10"/>
      <c r="C31" s="8"/>
      <c r="D31" s="9" t="s">
        <v>49</v>
      </c>
      <c r="E31" s="8" t="s">
        <v>50</v>
      </c>
      <c r="F31" s="9"/>
      <c r="G31" s="8"/>
      <c r="H31" s="9"/>
      <c r="I31" s="8"/>
      <c r="J31" s="9"/>
      <c r="K31" s="8" t="s">
        <v>57</v>
      </c>
      <c r="L31" s="9"/>
      <c r="M31" s="8" t="s">
        <v>59</v>
      </c>
      <c r="N31" s="9"/>
      <c r="O31" s="1">
        <v>4</v>
      </c>
    </row>
    <row r="32" spans="1:15" ht="30.85" customHeight="1" x14ac:dyDescent="0.45">
      <c r="A32" s="2">
        <v>29</v>
      </c>
      <c r="B32" s="10"/>
      <c r="C32" s="8"/>
      <c r="D32" s="9" t="s">
        <v>49</v>
      </c>
      <c r="E32" s="8"/>
      <c r="F32" s="9" t="s">
        <v>51</v>
      </c>
      <c r="G32" s="8" t="s">
        <v>52</v>
      </c>
      <c r="H32" s="9" t="s">
        <v>53</v>
      </c>
      <c r="I32" s="8"/>
      <c r="J32" s="9"/>
      <c r="K32" s="8"/>
      <c r="L32" s="9" t="s">
        <v>58</v>
      </c>
      <c r="M32" s="8"/>
      <c r="N32" s="9" t="s">
        <v>61</v>
      </c>
      <c r="O32" s="1">
        <v>6</v>
      </c>
    </row>
    <row r="33" spans="1:15" ht="30.85" customHeight="1" x14ac:dyDescent="0.45">
      <c r="A33" s="11">
        <v>30</v>
      </c>
      <c r="B33" s="12" t="s">
        <v>47</v>
      </c>
      <c r="C33" s="12" t="s">
        <v>48</v>
      </c>
      <c r="D33" s="12" t="s">
        <v>42</v>
      </c>
      <c r="E33" s="12" t="s">
        <v>43</v>
      </c>
      <c r="F33" s="12" t="s">
        <v>41</v>
      </c>
      <c r="G33" s="12" t="s">
        <v>43</v>
      </c>
      <c r="H33" s="12" t="s">
        <v>42</v>
      </c>
      <c r="I33" s="12" t="s">
        <v>55</v>
      </c>
      <c r="J33" s="12" t="s">
        <v>43</v>
      </c>
      <c r="K33" s="12" t="s">
        <v>41</v>
      </c>
      <c r="L33" s="12" t="s">
        <v>41</v>
      </c>
      <c r="M33" s="12" t="s">
        <v>43</v>
      </c>
      <c r="N33" s="12" t="s">
        <v>43</v>
      </c>
      <c r="O33" s="1">
        <v>3</v>
      </c>
    </row>
    <row r="34" spans="1:15" ht="30.85" customHeight="1" x14ac:dyDescent="0.45">
      <c r="A34" s="2">
        <v>34</v>
      </c>
      <c r="B34" s="10"/>
      <c r="C34" s="8"/>
      <c r="D34" s="9" t="s">
        <v>49</v>
      </c>
      <c r="E34" s="8"/>
      <c r="F34" s="9" t="s">
        <v>51</v>
      </c>
      <c r="G34" s="8"/>
      <c r="H34" s="9" t="s">
        <v>53</v>
      </c>
      <c r="I34" s="8"/>
      <c r="J34" s="9"/>
      <c r="K34" s="8"/>
      <c r="L34" s="9" t="s">
        <v>58</v>
      </c>
      <c r="M34" s="8"/>
      <c r="N34" s="9" t="s">
        <v>61</v>
      </c>
      <c r="O34" s="1">
        <v>5</v>
      </c>
    </row>
    <row r="39" spans="1:15" ht="30.85" customHeight="1" x14ac:dyDescent="0.45">
      <c r="A39" s="2" t="s">
        <v>0</v>
      </c>
      <c r="B39" s="2" t="s">
        <v>47</v>
      </c>
      <c r="C39" s="2" t="s">
        <v>48</v>
      </c>
      <c r="D39" s="2" t="s">
        <v>49</v>
      </c>
      <c r="E39" s="2" t="s">
        <v>50</v>
      </c>
      <c r="F39" s="2" t="s">
        <v>51</v>
      </c>
      <c r="G39" s="2" t="s">
        <v>52</v>
      </c>
      <c r="H39" s="2" t="s">
        <v>53</v>
      </c>
      <c r="I39" s="2" t="s">
        <v>55</v>
      </c>
      <c r="J39" s="2" t="s">
        <v>56</v>
      </c>
      <c r="K39" s="2" t="s">
        <v>57</v>
      </c>
      <c r="L39" s="2" t="s">
        <v>58</v>
      </c>
      <c r="M39" s="2" t="s">
        <v>59</v>
      </c>
      <c r="N39" s="2" t="s">
        <v>61</v>
      </c>
    </row>
    <row r="40" spans="1:15" ht="30.85" customHeight="1" x14ac:dyDescent="0.45">
      <c r="A40" s="2">
        <v>1</v>
      </c>
      <c r="B40" s="2">
        <v>0</v>
      </c>
      <c r="C40" s="2">
        <v>1</v>
      </c>
      <c r="D40" s="2">
        <v>0</v>
      </c>
      <c r="E40" s="2">
        <v>1</v>
      </c>
      <c r="F40" s="2">
        <v>1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f>SUM(B40:N40)</f>
        <v>4</v>
      </c>
    </row>
    <row r="41" spans="1:15" ht="30.85" customHeight="1" x14ac:dyDescent="0.45">
      <c r="A41" s="11">
        <v>12</v>
      </c>
      <c r="B41" s="11">
        <v>1</v>
      </c>
      <c r="C41" s="11">
        <v>1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1</v>
      </c>
      <c r="J41" s="11">
        <v>1</v>
      </c>
      <c r="K41" s="11">
        <v>0</v>
      </c>
      <c r="L41" s="11">
        <v>0</v>
      </c>
      <c r="M41" s="11">
        <v>0</v>
      </c>
      <c r="N41" s="11">
        <v>0</v>
      </c>
      <c r="O41" s="11">
        <f t="shared" ref="O41:O52" si="13">SUM(B41:N41)</f>
        <v>4</v>
      </c>
    </row>
    <row r="42" spans="1:15" ht="30.85" customHeight="1" x14ac:dyDescent="0.45">
      <c r="A42" s="2">
        <v>14</v>
      </c>
      <c r="B42" s="2">
        <v>0</v>
      </c>
      <c r="C42" s="2">
        <v>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1</v>
      </c>
      <c r="K42" s="2">
        <v>1</v>
      </c>
      <c r="L42" s="2">
        <v>1</v>
      </c>
      <c r="M42" s="2">
        <v>0</v>
      </c>
      <c r="N42" s="2">
        <v>0</v>
      </c>
      <c r="O42" s="2">
        <f t="shared" si="13"/>
        <v>5</v>
      </c>
    </row>
    <row r="43" spans="1:15" ht="30.85" customHeight="1" x14ac:dyDescent="0.45">
      <c r="A43" s="2">
        <v>20</v>
      </c>
      <c r="B43" s="2">
        <v>0</v>
      </c>
      <c r="C43" s="2">
        <v>1</v>
      </c>
      <c r="D43" s="2">
        <v>0</v>
      </c>
      <c r="E43" s="2">
        <v>0</v>
      </c>
      <c r="F43" s="2">
        <v>0</v>
      </c>
      <c r="G43" s="2">
        <v>0</v>
      </c>
      <c r="H43" s="2">
        <v>0.5</v>
      </c>
      <c r="I43" s="2">
        <v>1</v>
      </c>
      <c r="J43" s="2">
        <v>1</v>
      </c>
      <c r="K43" s="2">
        <v>1</v>
      </c>
      <c r="L43" s="2">
        <v>0</v>
      </c>
      <c r="M43" s="2">
        <v>0</v>
      </c>
      <c r="N43" s="2">
        <v>0</v>
      </c>
      <c r="O43" s="2">
        <f t="shared" si="13"/>
        <v>4.5</v>
      </c>
    </row>
    <row r="44" spans="1:15" ht="30.85" customHeight="1" x14ac:dyDescent="0.45">
      <c r="A44" s="11">
        <v>21</v>
      </c>
      <c r="B44" s="11">
        <v>1</v>
      </c>
      <c r="C44" s="11">
        <v>1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1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f t="shared" si="13"/>
        <v>3</v>
      </c>
    </row>
    <row r="45" spans="1:15" ht="30.85" customHeight="1" x14ac:dyDescent="0.45">
      <c r="A45" s="11">
        <v>22</v>
      </c>
      <c r="B45" s="11">
        <v>1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0.5</v>
      </c>
      <c r="O45" s="11">
        <f t="shared" si="13"/>
        <v>1.5</v>
      </c>
    </row>
    <row r="46" spans="1:15" ht="30.85" customHeight="1" x14ac:dyDescent="0.45">
      <c r="A46" s="2">
        <v>23</v>
      </c>
      <c r="B46" s="2">
        <v>0</v>
      </c>
      <c r="C46" s="2">
        <v>0</v>
      </c>
      <c r="D46" s="2">
        <v>1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0.5</v>
      </c>
      <c r="N46" s="2">
        <v>0</v>
      </c>
      <c r="O46" s="2">
        <f t="shared" si="13"/>
        <v>2.5</v>
      </c>
    </row>
    <row r="47" spans="1:15" ht="30.85" customHeight="1" x14ac:dyDescent="0.45">
      <c r="A47" s="2">
        <v>24</v>
      </c>
      <c r="B47" s="2">
        <v>0</v>
      </c>
      <c r="C47" s="2">
        <v>0</v>
      </c>
      <c r="D47" s="2">
        <v>1</v>
      </c>
      <c r="E47" s="2">
        <v>1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f t="shared" si="13"/>
        <v>3</v>
      </c>
    </row>
    <row r="48" spans="1:15" ht="30.85" customHeight="1" x14ac:dyDescent="0.45">
      <c r="A48" s="2">
        <v>27</v>
      </c>
      <c r="B48" s="2">
        <v>0</v>
      </c>
      <c r="C48" s="2">
        <v>0</v>
      </c>
      <c r="D48" s="2">
        <v>1</v>
      </c>
      <c r="E48" s="2">
        <v>0</v>
      </c>
      <c r="F48" s="2">
        <v>0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</v>
      </c>
      <c r="O48" s="2">
        <f t="shared" si="13"/>
        <v>4</v>
      </c>
    </row>
    <row r="49" spans="1:16" ht="30.85" customHeight="1" x14ac:dyDescent="0.45">
      <c r="A49" s="2">
        <v>28</v>
      </c>
      <c r="B49" s="2">
        <v>0</v>
      </c>
      <c r="C49" s="2">
        <v>0</v>
      </c>
      <c r="D49" s="2">
        <v>1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1</v>
      </c>
      <c r="N49" s="2">
        <v>0</v>
      </c>
      <c r="O49" s="2">
        <f t="shared" si="13"/>
        <v>4</v>
      </c>
    </row>
    <row r="50" spans="1:16" ht="30.85" customHeight="1" x14ac:dyDescent="0.45">
      <c r="A50" s="2">
        <v>29</v>
      </c>
      <c r="B50" s="2">
        <v>0</v>
      </c>
      <c r="C50" s="2">
        <v>0</v>
      </c>
      <c r="D50" s="2">
        <v>1</v>
      </c>
      <c r="E50" s="2">
        <v>0</v>
      </c>
      <c r="F50" s="2">
        <v>1</v>
      </c>
      <c r="G50" s="2">
        <v>1</v>
      </c>
      <c r="H50" s="2">
        <v>1</v>
      </c>
      <c r="I50" s="2">
        <v>0</v>
      </c>
      <c r="J50" s="2">
        <v>0</v>
      </c>
      <c r="K50" s="2">
        <v>0</v>
      </c>
      <c r="L50" s="2">
        <v>1</v>
      </c>
      <c r="M50" s="2">
        <v>0</v>
      </c>
      <c r="N50" s="2">
        <v>1</v>
      </c>
      <c r="O50" s="2">
        <f t="shared" si="13"/>
        <v>6</v>
      </c>
    </row>
    <row r="51" spans="1:16" ht="30.85" customHeight="1" x14ac:dyDescent="0.45">
      <c r="A51" s="11">
        <v>30</v>
      </c>
      <c r="B51" s="11">
        <v>1</v>
      </c>
      <c r="C51" s="11">
        <v>1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1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f t="shared" si="13"/>
        <v>3</v>
      </c>
    </row>
    <row r="52" spans="1:16" ht="30.85" customHeight="1" x14ac:dyDescent="0.45">
      <c r="A52" s="2">
        <v>34</v>
      </c>
      <c r="B52" s="2">
        <v>0</v>
      </c>
      <c r="C52" s="2">
        <v>0</v>
      </c>
      <c r="D52" s="2">
        <v>1</v>
      </c>
      <c r="E52" s="2">
        <v>0</v>
      </c>
      <c r="F52" s="2">
        <v>1</v>
      </c>
      <c r="G52" s="2">
        <v>0</v>
      </c>
      <c r="H52" s="2">
        <v>1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1</v>
      </c>
      <c r="O52" s="2">
        <f t="shared" si="13"/>
        <v>5</v>
      </c>
    </row>
    <row r="59" spans="1:16" ht="30.85" customHeight="1" x14ac:dyDescent="0.45"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 spans="1:16" s="16" customFormat="1" ht="49.25" customHeight="1" x14ac:dyDescent="0.45">
      <c r="A60" s="15" t="s">
        <v>0</v>
      </c>
      <c r="B60" s="21" t="s">
        <v>47</v>
      </c>
      <c r="C60" s="21" t="s">
        <v>48</v>
      </c>
      <c r="D60" s="21" t="s">
        <v>49</v>
      </c>
      <c r="E60" s="21" t="s">
        <v>50</v>
      </c>
      <c r="F60" s="21" t="s">
        <v>51</v>
      </c>
      <c r="G60" s="21" t="s">
        <v>52</v>
      </c>
      <c r="H60" s="21" t="s">
        <v>53</v>
      </c>
      <c r="I60" s="21" t="s">
        <v>55</v>
      </c>
      <c r="J60" s="21" t="s">
        <v>56</v>
      </c>
      <c r="K60" s="21" t="s">
        <v>57</v>
      </c>
      <c r="L60" s="21" t="s">
        <v>58</v>
      </c>
      <c r="M60" s="21" t="s">
        <v>59</v>
      </c>
      <c r="N60" s="21" t="s">
        <v>61</v>
      </c>
    </row>
    <row r="61" spans="1:16" s="16" customFormat="1" ht="49.25" customHeight="1" x14ac:dyDescent="0.45">
      <c r="A61" s="17">
        <v>12</v>
      </c>
      <c r="B61" s="18" t="s">
        <v>47</v>
      </c>
      <c r="C61" s="18" t="s">
        <v>48</v>
      </c>
      <c r="D61" s="18" t="s">
        <v>42</v>
      </c>
      <c r="E61" s="18" t="s">
        <v>42</v>
      </c>
      <c r="F61" s="18" t="s">
        <v>42</v>
      </c>
      <c r="G61" s="18" t="s">
        <v>43</v>
      </c>
      <c r="H61" s="18" t="s">
        <v>43</v>
      </c>
      <c r="I61" s="18" t="s">
        <v>55</v>
      </c>
      <c r="J61" s="18" t="s">
        <v>56</v>
      </c>
      <c r="K61" s="18" t="s">
        <v>41</v>
      </c>
      <c r="L61" s="18" t="s">
        <v>41</v>
      </c>
      <c r="M61" s="18" t="s">
        <v>43</v>
      </c>
      <c r="N61" s="18" t="s">
        <v>43</v>
      </c>
      <c r="O61" s="16">
        <v>4</v>
      </c>
      <c r="P61" s="19">
        <v>0.5</v>
      </c>
    </row>
    <row r="62" spans="1:16" s="16" customFormat="1" ht="49.25" customHeight="1" x14ac:dyDescent="0.45">
      <c r="A62" s="17">
        <v>21</v>
      </c>
      <c r="B62" s="18" t="s">
        <v>47</v>
      </c>
      <c r="C62" s="18" t="s">
        <v>48</v>
      </c>
      <c r="D62" s="18" t="s">
        <v>42</v>
      </c>
      <c r="E62" s="18" t="s">
        <v>42</v>
      </c>
      <c r="F62" s="18" t="s">
        <v>42</v>
      </c>
      <c r="G62" s="18" t="s">
        <v>41</v>
      </c>
      <c r="H62" s="18" t="s">
        <v>42</v>
      </c>
      <c r="I62" s="18" t="s">
        <v>55</v>
      </c>
      <c r="J62" s="18" t="s">
        <v>41</v>
      </c>
      <c r="K62" s="18" t="s">
        <v>41</v>
      </c>
      <c r="L62" s="18" t="s">
        <v>41</v>
      </c>
      <c r="M62" s="18" t="s">
        <v>43</v>
      </c>
      <c r="N62" s="18" t="s">
        <v>41</v>
      </c>
      <c r="O62" s="16">
        <v>3</v>
      </c>
      <c r="P62" s="19">
        <v>0.5</v>
      </c>
    </row>
    <row r="63" spans="1:16" s="16" customFormat="1" ht="49.25" customHeight="1" x14ac:dyDescent="0.45">
      <c r="A63" s="17">
        <v>22</v>
      </c>
      <c r="B63" s="18" t="s">
        <v>47</v>
      </c>
      <c r="C63" s="18" t="s">
        <v>43</v>
      </c>
      <c r="D63" s="18" t="s">
        <v>42</v>
      </c>
      <c r="E63" s="18" t="s">
        <v>43</v>
      </c>
      <c r="F63" s="18" t="s">
        <v>43</v>
      </c>
      <c r="G63" s="18" t="s">
        <v>41</v>
      </c>
      <c r="H63" s="18" t="s">
        <v>42</v>
      </c>
      <c r="I63" s="18" t="s">
        <v>42</v>
      </c>
      <c r="J63" s="18" t="s">
        <v>41</v>
      </c>
      <c r="K63" s="18" t="s">
        <v>41</v>
      </c>
      <c r="L63" s="18" t="s">
        <v>41</v>
      </c>
      <c r="M63" s="18" t="s">
        <v>43</v>
      </c>
      <c r="N63" s="18" t="s">
        <v>62</v>
      </c>
      <c r="O63" s="16">
        <v>1.5</v>
      </c>
      <c r="P63" s="19">
        <v>1</v>
      </c>
    </row>
    <row r="64" spans="1:16" s="16" customFormat="1" ht="49.25" customHeight="1" x14ac:dyDescent="0.45">
      <c r="A64" s="17">
        <v>30</v>
      </c>
      <c r="B64" s="18" t="s">
        <v>47</v>
      </c>
      <c r="C64" s="18" t="s">
        <v>48</v>
      </c>
      <c r="D64" s="18" t="s">
        <v>42</v>
      </c>
      <c r="E64" s="18" t="s">
        <v>43</v>
      </c>
      <c r="F64" s="18" t="s">
        <v>41</v>
      </c>
      <c r="G64" s="18" t="s">
        <v>43</v>
      </c>
      <c r="H64" s="18" t="s">
        <v>42</v>
      </c>
      <c r="I64" s="18" t="s">
        <v>55</v>
      </c>
      <c r="J64" s="18" t="s">
        <v>43</v>
      </c>
      <c r="K64" s="18" t="s">
        <v>41</v>
      </c>
      <c r="L64" s="18" t="s">
        <v>41</v>
      </c>
      <c r="M64" s="18" t="s">
        <v>43</v>
      </c>
      <c r="N64" s="18" t="s">
        <v>43</v>
      </c>
      <c r="O64" s="16">
        <v>3</v>
      </c>
      <c r="P64" s="19">
        <v>1</v>
      </c>
    </row>
  </sheetData>
  <sortState xmlns:xlrd2="http://schemas.microsoft.com/office/spreadsheetml/2017/richdata2" ref="A2:BO14">
    <sortCondition ref="BO1:BO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all_centroidi_annotated_34_2020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Pavirani</cp:lastModifiedBy>
  <dcterms:created xsi:type="dcterms:W3CDTF">2025-11-17T12:50:25Z</dcterms:created>
  <dcterms:modified xsi:type="dcterms:W3CDTF">2025-11-20T14:32:38Z</dcterms:modified>
</cp:coreProperties>
</file>