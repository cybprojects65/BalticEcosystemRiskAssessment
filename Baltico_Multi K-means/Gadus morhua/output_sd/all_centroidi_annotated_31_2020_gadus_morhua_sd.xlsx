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EcosystemRiskAssessment\Baltico_Multi K-means\Gadus morhua\output_sd\"/>
    </mc:Choice>
  </mc:AlternateContent>
  <xr:revisionPtr revIDLastSave="0" documentId="13_ncr:1_{2CC018A0-25CC-49B3-AA33-882219F611B8}" xr6:coauthVersionLast="47" xr6:coauthVersionMax="47" xr10:uidLastSave="{00000000-0000-0000-0000-000000000000}"/>
  <bookViews>
    <workbookView xWindow="-35950" yWindow="100" windowWidth="32480" windowHeight="11190" xr2:uid="{00000000-000D-0000-FFFF-FFFF00000000}"/>
  </bookViews>
  <sheets>
    <sheet name="all_centroidi_annotated_31_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O31" i="1"/>
  <c r="O32" i="1"/>
  <c r="O33" i="1"/>
  <c r="O34" i="1"/>
  <c r="O35" i="1"/>
  <c r="O36" i="1"/>
  <c r="O37" i="1"/>
  <c r="O38" i="1"/>
  <c r="O39" i="1"/>
  <c r="O30" i="1"/>
  <c r="BB5" i="1"/>
  <c r="BB6" i="1"/>
  <c r="AW6" i="1"/>
  <c r="N7" i="1"/>
  <c r="N8" i="1"/>
  <c r="BK12" i="1"/>
  <c r="BF12" i="1"/>
  <c r="BG2" i="1" s="1"/>
  <c r="BA12" i="1"/>
  <c r="AV12" i="1"/>
  <c r="AQ12" i="1"/>
  <c r="AL12" i="1"/>
  <c r="AG12" i="1"/>
  <c r="AB12" i="1"/>
  <c r="W12" i="1"/>
  <c r="R12" i="1"/>
  <c r="M12" i="1"/>
  <c r="H12" i="1"/>
  <c r="C12" i="1"/>
  <c r="BJ12" i="1"/>
  <c r="BL12" i="1" s="1"/>
  <c r="BE12" i="1"/>
  <c r="AZ12" i="1"/>
  <c r="BB7" i="1" s="1"/>
  <c r="AU12" i="1"/>
  <c r="AW9" i="1" s="1"/>
  <c r="AP12" i="1"/>
  <c r="AR11" i="1" s="1"/>
  <c r="AK12" i="1"/>
  <c r="AM12" i="1" s="1"/>
  <c r="AF12" i="1"/>
  <c r="AA12" i="1"/>
  <c r="AC7" i="1" s="1"/>
  <c r="V12" i="1"/>
  <c r="X12" i="1" s="1"/>
  <c r="Q12" i="1"/>
  <c r="S4" i="1" s="1"/>
  <c r="L12" i="1"/>
  <c r="N10" i="1" s="1"/>
  <c r="G12" i="1"/>
  <c r="I12" i="1" s="1"/>
  <c r="B12" i="1"/>
  <c r="D12" i="1" s="1"/>
  <c r="BG4" i="1" l="1"/>
  <c r="D11" i="1"/>
  <c r="N5" i="1"/>
  <c r="S10" i="1"/>
  <c r="D10" i="1"/>
  <c r="N4" i="1"/>
  <c r="D9" i="1"/>
  <c r="N3" i="1"/>
  <c r="AH12" i="1"/>
  <c r="D8" i="1"/>
  <c r="N13" i="1"/>
  <c r="N6" i="1"/>
  <c r="I11" i="1"/>
  <c r="I8" i="1"/>
  <c r="BB4" i="1"/>
  <c r="I10" i="1"/>
  <c r="I9" i="1"/>
  <c r="BG5" i="1"/>
  <c r="I7" i="1"/>
  <c r="BB3" i="1"/>
  <c r="S3" i="1"/>
  <c r="X2" i="1"/>
  <c r="AC6" i="1"/>
  <c r="X11" i="1"/>
  <c r="X6" i="1"/>
  <c r="X5" i="1"/>
  <c r="X4" i="1"/>
  <c r="X3" i="1"/>
  <c r="S8" i="1"/>
  <c r="AM2" i="1"/>
  <c r="BG3" i="1"/>
  <c r="S7" i="1"/>
  <c r="AR10" i="1"/>
  <c r="BL2" i="1"/>
  <c r="I6" i="1"/>
  <c r="S6" i="1"/>
  <c r="AR9" i="1"/>
  <c r="BL11" i="1"/>
  <c r="I5" i="1"/>
  <c r="S5" i="1"/>
  <c r="AW8" i="1"/>
  <c r="BL10" i="1"/>
  <c r="D2" i="1"/>
  <c r="N9" i="1"/>
  <c r="AW7" i="1"/>
  <c r="BL9" i="1"/>
  <c r="AC3" i="1"/>
  <c r="AH2" i="1"/>
  <c r="AR8" i="1"/>
  <c r="AH11" i="1"/>
  <c r="AR7" i="1"/>
  <c r="AW5" i="1"/>
  <c r="AC2" i="1"/>
  <c r="AH10" i="1"/>
  <c r="AM8" i="1"/>
  <c r="AR6" i="1"/>
  <c r="AW4" i="1"/>
  <c r="AM7" i="1"/>
  <c r="AC10" i="1"/>
  <c r="AH8" i="1"/>
  <c r="AR4" i="1"/>
  <c r="BG10" i="1"/>
  <c r="I4" i="1"/>
  <c r="AC9" i="1"/>
  <c r="AH7" i="1"/>
  <c r="AM5" i="1"/>
  <c r="AR3" i="1"/>
  <c r="BB11" i="1"/>
  <c r="BG9" i="1"/>
  <c r="BG12" i="1"/>
  <c r="D5" i="1"/>
  <c r="I3" i="1"/>
  <c r="S2" i="1"/>
  <c r="X10" i="1"/>
  <c r="AC8" i="1"/>
  <c r="AH6" i="1"/>
  <c r="AM4" i="1"/>
  <c r="AW2" i="1"/>
  <c r="BB10" i="1"/>
  <c r="BG8" i="1"/>
  <c r="BL6" i="1"/>
  <c r="S12" i="1"/>
  <c r="N12" i="1"/>
  <c r="BB12" i="1"/>
  <c r="D4" i="1"/>
  <c r="N2" i="1"/>
  <c r="S11" i="1"/>
  <c r="X9" i="1"/>
  <c r="AH5" i="1"/>
  <c r="AM3" i="1"/>
  <c r="AW11" i="1"/>
  <c r="BB9" i="1"/>
  <c r="BG7" i="1"/>
  <c r="BL5" i="1"/>
  <c r="AC4" i="1"/>
  <c r="AM11" i="1"/>
  <c r="AM10" i="1"/>
  <c r="AM9" i="1"/>
  <c r="AC11" i="1"/>
  <c r="AH9" i="1"/>
  <c r="AR5" i="1"/>
  <c r="AW3" i="1"/>
  <c r="BG11" i="1"/>
  <c r="D7" i="1"/>
  <c r="AM6" i="1"/>
  <c r="BB2" i="1"/>
  <c r="BL8" i="1"/>
  <c r="D6" i="1"/>
  <c r="BL7" i="1"/>
  <c r="AW12" i="1"/>
  <c r="D3" i="1"/>
  <c r="N11" i="1"/>
  <c r="X8" i="1"/>
  <c r="AH4" i="1"/>
  <c r="AR2" i="1"/>
  <c r="AW10" i="1"/>
  <c r="BB8" i="1"/>
  <c r="BG6" i="1"/>
  <c r="BL4" i="1"/>
  <c r="AC12" i="1"/>
  <c r="AR12" i="1"/>
  <c r="I2" i="1"/>
  <c r="S9" i="1"/>
  <c r="X7" i="1"/>
  <c r="AC5" i="1"/>
  <c r="AH3" i="1"/>
  <c r="BL3" i="1"/>
</calcChain>
</file>

<file path=xl/sharedStrings.xml><?xml version="1.0" encoding="utf-8"?>
<sst xmlns="http://schemas.openxmlformats.org/spreadsheetml/2006/main" count="354" uniqueCount="62">
  <si>
    <t>centroid_id</t>
  </si>
  <si>
    <t>cod_cpue_2020_std</t>
  </si>
  <si>
    <t>cod_cpue_2020_std_sd</t>
  </si>
  <si>
    <t>cod_cpue_2020_std_label</t>
  </si>
  <si>
    <t>bathymetry_2020_std</t>
  </si>
  <si>
    <t>bathymetry_2020_std_sd</t>
  </si>
  <si>
    <t>bathymetry_2020_std_label</t>
  </si>
  <si>
    <t>bottom_temperature_2020_std</t>
  </si>
  <si>
    <t>bottom_temperature_2020_std_sd</t>
  </si>
  <si>
    <t>bottom_temperature_2020_std_label</t>
  </si>
  <si>
    <t>surface_net_primary_production_2020_std</t>
  </si>
  <si>
    <t>surface_net_primary_production_2020_std_sd</t>
  </si>
  <si>
    <t>surface_net_primary_production_2020_std_label</t>
  </si>
  <si>
    <t>fishing_activity_hours_2020_std</t>
  </si>
  <si>
    <t>fishing_activity_hours_2020_std_sd</t>
  </si>
  <si>
    <t>fishing_activity_hours_2020_std_label</t>
  </si>
  <si>
    <t>ship_density_route_2020_std</t>
  </si>
  <si>
    <t>ship_density_route_2020_std_sd</t>
  </si>
  <si>
    <t>ship_density_route_2020_std_label</t>
  </si>
  <si>
    <t>bottom_salinity_2020_std</t>
  </si>
  <si>
    <t>bottom_salinity_2020_std_sd</t>
  </si>
  <si>
    <t>bottom_salinity_2020_std_label</t>
  </si>
  <si>
    <t>bottom_dissolved_oxygen_2020_inv_std</t>
  </si>
  <si>
    <t>bottom_dissolved_oxygen_2020_inv_std_sd</t>
  </si>
  <si>
    <t>bottom_dissolved_oxygen_2020_inv_std_label</t>
  </si>
  <si>
    <t>dumping_site_2020</t>
  </si>
  <si>
    <t>dumping_site_2020_sd</t>
  </si>
  <si>
    <t>dumping_site_2020_label</t>
  </si>
  <si>
    <t>military_area_2020</t>
  </si>
  <si>
    <t>military_area_2020_sd</t>
  </si>
  <si>
    <t>military_area_2020_label</t>
  </si>
  <si>
    <t>wind_farm_2020</t>
  </si>
  <si>
    <t>wind_farm_2020_sd</t>
  </si>
  <si>
    <t>wind_farm_2020_label</t>
  </si>
  <si>
    <t>bedrock_seabed_2020</t>
  </si>
  <si>
    <t>bedrock_seabed_2020_sd</t>
  </si>
  <si>
    <t>bedrock_seabed_2020_label</t>
  </si>
  <si>
    <t>hard_bottom_seabed_2020</t>
  </si>
  <si>
    <t>hard_bottom_seabed_2020_sd</t>
  </si>
  <si>
    <t>hard_bottom_seabed_2020_label</t>
  </si>
  <si>
    <t>attention_level</t>
  </si>
  <si>
    <t>H</t>
  </si>
  <si>
    <t>L</t>
  </si>
  <si>
    <t>M</t>
  </si>
  <si>
    <t>high attention</t>
  </si>
  <si>
    <t>IF Centroid &gt;= Centroid_mean+ (SD_mean/2) --&gt; 1 o 0.5</t>
  </si>
  <si>
    <t>MAIUSCOLO/minuscolo/0</t>
  </si>
  <si>
    <t>BIODIVERSITY</t>
  </si>
  <si>
    <t>BATHYMETRY</t>
  </si>
  <si>
    <t>TEMPERATURE</t>
  </si>
  <si>
    <t>NPP</t>
  </si>
  <si>
    <t>FISHING</t>
  </si>
  <si>
    <t>SHIP</t>
  </si>
  <si>
    <t>SALINITY</t>
  </si>
  <si>
    <t>OXYGEN</t>
  </si>
  <si>
    <t>DUPING_SITE</t>
  </si>
  <si>
    <t>MILITARY</t>
  </si>
  <si>
    <t>wind_farm</t>
  </si>
  <si>
    <t>WIND_FARM</t>
  </si>
  <si>
    <t>BEDROCK</t>
  </si>
  <si>
    <t>HARDROCK</t>
  </si>
  <si>
    <t>hardrock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</si>
</sst>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19" fillId="39" borderId="10" xfId="0" applyFont="1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19" fillId="38" borderId="10" xfId="0" applyFont="1" applyFill="1" applyBorder="1" applyAlignment="1">
      <alignment horizontal="center" vertical="center"/>
    </xf>
    <xf numFmtId="0" fontId="20" fillId="40" borderId="10" xfId="0" applyFont="1" applyFill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7"/>
  <sheetViews>
    <sheetView tabSelected="1" topLeftCell="A37" zoomScale="85" zoomScaleNormal="85" workbookViewId="0">
      <selection activeCell="C42" sqref="C42"/>
    </sheetView>
  </sheetViews>
  <sheetFormatPr defaultColWidth="17.33203125" defaultRowHeight="31.9" customHeight="1" x14ac:dyDescent="0.45"/>
  <cols>
    <col min="1" max="16384" width="17.33203125" style="1"/>
  </cols>
  <sheetData>
    <row r="1" spans="1:67" ht="31.9" customHeight="1" x14ac:dyDescent="0.45">
      <c r="A1" s="2" t="s">
        <v>0</v>
      </c>
      <c r="B1" s="3" t="s">
        <v>1</v>
      </c>
      <c r="C1" s="3" t="s">
        <v>2</v>
      </c>
      <c r="D1" s="3" t="s">
        <v>45</v>
      </c>
      <c r="E1" s="3" t="s">
        <v>46</v>
      </c>
      <c r="F1" s="3" t="s">
        <v>3</v>
      </c>
      <c r="G1" s="4" t="s">
        <v>4</v>
      </c>
      <c r="H1" s="4" t="s">
        <v>5</v>
      </c>
      <c r="I1" s="4" t="s">
        <v>45</v>
      </c>
      <c r="J1" s="4" t="s">
        <v>46</v>
      </c>
      <c r="K1" s="4" t="s">
        <v>6</v>
      </c>
      <c r="L1" s="5" t="s">
        <v>7</v>
      </c>
      <c r="M1" s="5" t="s">
        <v>8</v>
      </c>
      <c r="N1" s="5" t="s">
        <v>45</v>
      </c>
      <c r="O1" s="5" t="s">
        <v>46</v>
      </c>
      <c r="P1" s="5" t="s">
        <v>9</v>
      </c>
      <c r="Q1" s="4" t="s">
        <v>10</v>
      </c>
      <c r="R1" s="4" t="s">
        <v>11</v>
      </c>
      <c r="S1" s="4" t="s">
        <v>45</v>
      </c>
      <c r="T1" s="4" t="s">
        <v>46</v>
      </c>
      <c r="U1" s="4" t="s">
        <v>12</v>
      </c>
      <c r="V1" s="5" t="s">
        <v>13</v>
      </c>
      <c r="W1" s="5" t="s">
        <v>14</v>
      </c>
      <c r="X1" s="5" t="s">
        <v>45</v>
      </c>
      <c r="Y1" s="5" t="s">
        <v>46</v>
      </c>
      <c r="Z1" s="5" t="s">
        <v>15</v>
      </c>
      <c r="AA1" s="4" t="s">
        <v>16</v>
      </c>
      <c r="AB1" s="4" t="s">
        <v>17</v>
      </c>
      <c r="AC1" s="4" t="s">
        <v>45</v>
      </c>
      <c r="AD1" s="4" t="s">
        <v>46</v>
      </c>
      <c r="AE1" s="4" t="s">
        <v>18</v>
      </c>
      <c r="AF1" s="5" t="s">
        <v>19</v>
      </c>
      <c r="AG1" s="5" t="s">
        <v>20</v>
      </c>
      <c r="AH1" s="5" t="s">
        <v>45</v>
      </c>
      <c r="AI1" s="5" t="s">
        <v>46</v>
      </c>
      <c r="AJ1" s="5" t="s">
        <v>21</v>
      </c>
      <c r="AK1" s="4" t="s">
        <v>22</v>
      </c>
      <c r="AL1" s="4" t="s">
        <v>23</v>
      </c>
      <c r="AM1" s="4" t="s">
        <v>45</v>
      </c>
      <c r="AN1" s="4" t="s">
        <v>46</v>
      </c>
      <c r="AO1" s="4" t="s">
        <v>24</v>
      </c>
      <c r="AP1" s="5" t="s">
        <v>25</v>
      </c>
      <c r="AQ1" s="5" t="s">
        <v>26</v>
      </c>
      <c r="AR1" s="5" t="s">
        <v>45</v>
      </c>
      <c r="AS1" s="5" t="s">
        <v>46</v>
      </c>
      <c r="AT1" s="5" t="s">
        <v>27</v>
      </c>
      <c r="AU1" s="4" t="s">
        <v>28</v>
      </c>
      <c r="AV1" s="4" t="s">
        <v>29</v>
      </c>
      <c r="AW1" s="4" t="s">
        <v>45</v>
      </c>
      <c r="AX1" s="4" t="s">
        <v>46</v>
      </c>
      <c r="AY1" s="4" t="s">
        <v>30</v>
      </c>
      <c r="AZ1" s="5" t="s">
        <v>31</v>
      </c>
      <c r="BA1" s="5" t="s">
        <v>32</v>
      </c>
      <c r="BB1" s="5" t="s">
        <v>45</v>
      </c>
      <c r="BC1" s="5" t="s">
        <v>46</v>
      </c>
      <c r="BD1" s="5" t="s">
        <v>33</v>
      </c>
      <c r="BE1" s="4" t="s">
        <v>34</v>
      </c>
      <c r="BF1" s="4" t="s">
        <v>35</v>
      </c>
      <c r="BG1" s="4" t="s">
        <v>45</v>
      </c>
      <c r="BH1" s="4" t="s">
        <v>46</v>
      </c>
      <c r="BI1" s="4" t="s">
        <v>36</v>
      </c>
      <c r="BJ1" s="5" t="s">
        <v>37</v>
      </c>
      <c r="BK1" s="5" t="s">
        <v>38</v>
      </c>
      <c r="BL1" s="5" t="s">
        <v>45</v>
      </c>
      <c r="BM1" s="5" t="s">
        <v>46</v>
      </c>
      <c r="BN1" s="5" t="s">
        <v>39</v>
      </c>
      <c r="BO1" s="2" t="s">
        <v>40</v>
      </c>
    </row>
    <row r="2" spans="1:67" ht="31.9" customHeight="1" x14ac:dyDescent="0.45">
      <c r="A2" s="2">
        <v>1</v>
      </c>
      <c r="B2" s="3">
        <v>7.9177379587641206E-2</v>
      </c>
      <c r="C2" s="3">
        <v>0.71076628354469396</v>
      </c>
      <c r="D2" s="3">
        <f>IF(B2 &gt; $B$12 + $C$12, 1, IF(B2 &gt;= $B$12 + $C$12/2, 0.5, 0))</f>
        <v>0</v>
      </c>
      <c r="E2" s="10"/>
      <c r="F2" s="3" t="s">
        <v>41</v>
      </c>
      <c r="G2" s="4">
        <v>0.94892571317378704</v>
      </c>
      <c r="H2" s="4">
        <v>0.58171428416663595</v>
      </c>
      <c r="I2" s="4">
        <f>IF(G2 &gt; $G$12 + $H$12, 1, IF(G2 &gt;= $G$12 + $H$12/2, 0.5, 0))</f>
        <v>1</v>
      </c>
      <c r="J2" s="9" t="s">
        <v>48</v>
      </c>
      <c r="K2" s="4" t="s">
        <v>41</v>
      </c>
      <c r="L2" s="5">
        <v>-0.91765231801309499</v>
      </c>
      <c r="M2" s="5">
        <v>0.37835453660481899</v>
      </c>
      <c r="N2" s="5">
        <f>IF(L2 &gt; $L$12 + $M$12, 1, IF(L2 &gt;= $L$12 + $M$12/2, 0.5, 0))</f>
        <v>0</v>
      </c>
      <c r="O2" s="8"/>
      <c r="P2" s="5" t="s">
        <v>42</v>
      </c>
      <c r="Q2" s="4">
        <v>0.30652561582078902</v>
      </c>
      <c r="R2" s="4">
        <v>0.55322771070578702</v>
      </c>
      <c r="S2" s="4">
        <f>IF(Q2 &gt; $Q$12 + $R$12, 1, IF(Q2 &gt;= $Q$12 + $R$12/2, 0.5, 0))</f>
        <v>1</v>
      </c>
      <c r="T2" s="9" t="s">
        <v>50</v>
      </c>
      <c r="U2" s="4" t="s">
        <v>41</v>
      </c>
      <c r="V2" s="5">
        <v>3.4755566745998001</v>
      </c>
      <c r="W2" s="5">
        <v>1.4238142533434499</v>
      </c>
      <c r="X2" s="5">
        <f>IF(V2 &gt; $V$12 + $W$12, 1, IF(V2 &gt;= $V$12 + $W$12/2, 0.5, 0))</f>
        <v>1</v>
      </c>
      <c r="Y2" s="8" t="s">
        <v>51</v>
      </c>
      <c r="Z2" s="5" t="s">
        <v>41</v>
      </c>
      <c r="AA2" s="4">
        <v>-0.16267436559766699</v>
      </c>
      <c r="AB2" s="4">
        <v>0.25788039951455799</v>
      </c>
      <c r="AC2" s="4">
        <f>IF(AA2 &gt; $AA$12 + $AB$12, 1, IF(AA2 &gt;= $AA$12 + $AB$12/2, 0.5, 0))</f>
        <v>0</v>
      </c>
      <c r="AD2" s="9"/>
      <c r="AE2" s="4" t="s">
        <v>43</v>
      </c>
      <c r="AF2" s="5">
        <v>-0.481841765447935</v>
      </c>
      <c r="AG2" s="5">
        <v>0.21024382545404199</v>
      </c>
      <c r="AH2" s="5">
        <f>IF(AF2 &gt; $AF$12 + $AG$12, 1, IF(AF2 &gt;= $AF$12 + $AG$12/2, 0.5, 0))</f>
        <v>0</v>
      </c>
      <c r="AI2" s="8"/>
      <c r="AJ2" s="5" t="s">
        <v>42</v>
      </c>
      <c r="AK2" s="4">
        <v>0.39321757268658097</v>
      </c>
      <c r="AL2" s="4">
        <v>0.68485358022279696</v>
      </c>
      <c r="AM2" s="4">
        <f>IF(AK2 &gt; $AK$12 + $AL$12, 1, IF(AK2 &gt;= $AK$12 + $AL$12/2, 0.5, 0))</f>
        <v>1</v>
      </c>
      <c r="AN2" s="9" t="s">
        <v>54</v>
      </c>
      <c r="AO2" s="4" t="s">
        <v>41</v>
      </c>
      <c r="AP2" s="5">
        <v>8.8235294117647106E-2</v>
      </c>
      <c r="AQ2" s="5">
        <v>0.28790224128123698</v>
      </c>
      <c r="AR2" s="5">
        <f>IF(AP2 &gt; $AP$12 + $AQ$12, 1, IF(AP2 &gt;= $AP$12 + $AQ$12/2, 0.5, 0))</f>
        <v>0</v>
      </c>
      <c r="AS2" s="8"/>
      <c r="AT2" s="5" t="s">
        <v>41</v>
      </c>
      <c r="AU2" s="4">
        <v>0.14705882352941199</v>
      </c>
      <c r="AV2" s="4">
        <v>0.35949062795357101</v>
      </c>
      <c r="AW2" s="4">
        <f>IF(AU2 &gt; $AU$12 + $AV$12, 1, IF(AU2 &gt;= $AU$12 + $AV$12/2, 0.5, 0))</f>
        <v>0</v>
      </c>
      <c r="AX2" s="9"/>
      <c r="AY2" s="4" t="s">
        <v>41</v>
      </c>
      <c r="AZ2" s="5">
        <v>0</v>
      </c>
      <c r="BA2" s="5">
        <v>0</v>
      </c>
      <c r="BB2" s="5">
        <f>IF(AZ2 &gt; $AZ$12 + $BA$12, 1, IF(AZ2 &gt;= $AZ$12 + $BA$12/2, 0.5, 0))</f>
        <v>0</v>
      </c>
      <c r="BC2" s="8"/>
      <c r="BD2" s="5" t="s">
        <v>43</v>
      </c>
      <c r="BE2" s="4">
        <v>0</v>
      </c>
      <c r="BF2" s="4">
        <v>0</v>
      </c>
      <c r="BG2" s="4">
        <f>IF(BE2 &gt; $BE$12 + $BF$12, 1, IF(BE2 &gt;= $BE$12 + $BF$12/2, 0.5, 0))</f>
        <v>0</v>
      </c>
      <c r="BH2" s="9"/>
      <c r="BI2" s="4" t="s">
        <v>43</v>
      </c>
      <c r="BJ2" s="5">
        <v>0</v>
      </c>
      <c r="BK2" s="5">
        <v>0</v>
      </c>
      <c r="BL2" s="5">
        <f>IF(BJ2 &gt; $BJ$12 + $BK$12, 1, IF(BJ2 &gt;= $BJ$12 + ($BK$12/2), 0.5, 0))</f>
        <v>0</v>
      </c>
      <c r="BM2" s="8"/>
      <c r="BN2" s="5" t="s">
        <v>43</v>
      </c>
      <c r="BO2" s="2" t="s">
        <v>44</v>
      </c>
    </row>
    <row r="3" spans="1:67" ht="31.9" customHeight="1" x14ac:dyDescent="0.45">
      <c r="A3" s="2">
        <v>2</v>
      </c>
      <c r="B3" s="3">
        <v>2.3168809377530502</v>
      </c>
      <c r="C3" s="3">
        <v>0.58361521930249305</v>
      </c>
      <c r="D3" s="3">
        <f t="shared" ref="D3:D11" si="0">IF(B3 &gt; $B$12 + $C$12, 1, IF(B3 &gt;= $B$12 + $C$12/2, 0.5, 0))</f>
        <v>1</v>
      </c>
      <c r="E3" s="10" t="s">
        <v>47</v>
      </c>
      <c r="F3" s="3" t="s">
        <v>41</v>
      </c>
      <c r="G3" s="4">
        <v>-0.82562057535048305</v>
      </c>
      <c r="H3" s="4">
        <v>0.344583921409084</v>
      </c>
      <c r="I3" s="4">
        <f t="shared" ref="I3:I11" si="1">IF(G3 &gt; $G$12 + $H$12, 1, IF(G3 &gt;= $G$12 + $H$12/2, 0.5, 0))</f>
        <v>0</v>
      </c>
      <c r="J3" s="9"/>
      <c r="K3" s="4" t="s">
        <v>42</v>
      </c>
      <c r="L3" s="5">
        <v>0.57126179520430098</v>
      </c>
      <c r="M3" s="5">
        <v>0.69763302432988705</v>
      </c>
      <c r="N3" s="5">
        <f t="shared" ref="N3:N11" si="2">IF(L3 &gt; $L$12 + $M$12, 1, IF(L3 &gt;= $L$12 + $M$12/2, 0.5, 0))</f>
        <v>1</v>
      </c>
      <c r="O3" s="8" t="s">
        <v>49</v>
      </c>
      <c r="P3" s="5" t="s">
        <v>43</v>
      </c>
      <c r="Q3" s="4">
        <v>0.52014367488506896</v>
      </c>
      <c r="R3" s="4">
        <v>0.70696693716090298</v>
      </c>
      <c r="S3" s="4">
        <f t="shared" ref="S3:S11" si="3">IF(Q3 &gt; $Q$12 + $R$12, 1, IF(Q3 &gt;= $Q$12 + $R$12/2, 0.5, 0))</f>
        <v>1</v>
      </c>
      <c r="T3" s="9" t="s">
        <v>50</v>
      </c>
      <c r="U3" s="4" t="s">
        <v>41</v>
      </c>
      <c r="V3" s="5">
        <v>-0.30021581067063202</v>
      </c>
      <c r="W3" s="5">
        <v>0.33249488607736699</v>
      </c>
      <c r="X3" s="5">
        <f t="shared" ref="X3:X11" si="4">IF(V3 &gt; $V$12 + $W$12, 1, IF(V3 &gt;= $V$12 + $W$12/2, 0.5, 0))</f>
        <v>0</v>
      </c>
      <c r="Y3" s="8"/>
      <c r="Z3" s="5" t="s">
        <v>43</v>
      </c>
      <c r="AA3" s="4">
        <v>-0.13503925848588499</v>
      </c>
      <c r="AB3" s="4">
        <v>0.65443328437560899</v>
      </c>
      <c r="AC3" s="4">
        <f t="shared" ref="AC3:AC11" si="5">IF(AA3 &gt; $AA$12 + $AB$12, 1, IF(AA3 &gt;= $AA$12 + $AB$12/2, 0.5, 0))</f>
        <v>0</v>
      </c>
      <c r="AD3" s="9"/>
      <c r="AE3" s="4" t="s">
        <v>41</v>
      </c>
      <c r="AF3" s="5">
        <v>-0.34998693706862199</v>
      </c>
      <c r="AG3" s="5">
        <v>0.79673134320399197</v>
      </c>
      <c r="AH3" s="5">
        <f t="shared" ref="AH3:AH11" si="6">IF(AF3 &gt; $AF$12 + $AG$12, 1, IF(AF3 &gt;= $AF$12 + $AG$12/2, 0.5, 0))</f>
        <v>0</v>
      </c>
      <c r="AI3" s="8"/>
      <c r="AJ3" s="5" t="s">
        <v>42</v>
      </c>
      <c r="AK3" s="4">
        <v>-0.68330249056594505</v>
      </c>
      <c r="AL3" s="4">
        <v>0.23189640548486801</v>
      </c>
      <c r="AM3" s="4">
        <f t="shared" ref="AM3:AM11" si="7">IF(AK3 &gt; $AK$12 + $AL$12, 1, IF(AK3 &gt;= $AK$12 + $AL$12/2, 0.5, 0))</f>
        <v>0</v>
      </c>
      <c r="AN3" s="9"/>
      <c r="AO3" s="4" t="s">
        <v>42</v>
      </c>
      <c r="AP3" s="5">
        <v>0</v>
      </c>
      <c r="AQ3" s="5">
        <v>0</v>
      </c>
      <c r="AR3" s="5">
        <f t="shared" ref="AR3:AR11" si="8">IF(AP3 &gt; $AP$12 + $AQ$12, 1, IF(AP3 &gt;= $AP$12 + $AQ$12/2, 0.5, 0))</f>
        <v>0</v>
      </c>
      <c r="AS3" s="8"/>
      <c r="AT3" s="5" t="s">
        <v>43</v>
      </c>
      <c r="AU3" s="4">
        <v>0</v>
      </c>
      <c r="AV3" s="4">
        <v>0</v>
      </c>
      <c r="AW3" s="4">
        <f t="shared" ref="AW3:AW11" si="9">IF(AU3 &gt; $AU$12 + $AV$12, 1, IF(AU3 &gt;= $AU$12 + $AV$12/2, 0.5, 0))</f>
        <v>0</v>
      </c>
      <c r="AX3" s="9"/>
      <c r="AY3" s="4" t="s">
        <v>43</v>
      </c>
      <c r="AZ3" s="5">
        <v>0.04</v>
      </c>
      <c r="BA3" s="5">
        <v>0.2</v>
      </c>
      <c r="BB3" s="5">
        <f t="shared" ref="BB3:BB11" si="10">IF(AZ3 &gt; $AZ$12 + $BA$12, 1, IF(AZ3 &gt;= $AZ$12 + $BA$12/2, 0.5, 0))</f>
        <v>0</v>
      </c>
      <c r="BC3" s="8"/>
      <c r="BD3" s="5" t="s">
        <v>41</v>
      </c>
      <c r="BE3" s="4">
        <v>0.04</v>
      </c>
      <c r="BF3" s="4">
        <v>0.2</v>
      </c>
      <c r="BG3" s="4">
        <f t="shared" ref="BG3:BG11" si="11">IF(BE3 &gt; $BE$12 + $BF$12, 1, IF(BE3 &gt;= $BE$12 + $BF$12/2, 0.5, 0))</f>
        <v>1</v>
      </c>
      <c r="BH3" s="9" t="s">
        <v>59</v>
      </c>
      <c r="BI3" s="4" t="s">
        <v>41</v>
      </c>
      <c r="BJ3" s="5">
        <v>0.16</v>
      </c>
      <c r="BK3" s="5">
        <v>0.374165738677394</v>
      </c>
      <c r="BL3" s="5">
        <f t="shared" ref="BL3:BL11" si="12">IF(BJ3 &gt; $BJ$12 + $BK$12, 1, IF(BJ3 &gt;= $BJ$12 + ($BK$12/2), 0.5, 0))</f>
        <v>0.5</v>
      </c>
      <c r="BM3" s="8" t="s">
        <v>61</v>
      </c>
      <c r="BN3" s="5" t="s">
        <v>41</v>
      </c>
      <c r="BO3" s="2" t="s">
        <v>44</v>
      </c>
    </row>
    <row r="4" spans="1:67" ht="31.9" customHeight="1" x14ac:dyDescent="0.45">
      <c r="A4" s="2">
        <v>5</v>
      </c>
      <c r="B4" s="3">
        <v>0.36066020821137001</v>
      </c>
      <c r="C4" s="3">
        <v>0.57856239912148899</v>
      </c>
      <c r="D4" s="3">
        <f t="shared" si="0"/>
        <v>0</v>
      </c>
      <c r="E4" s="10"/>
      <c r="F4" s="3" t="s">
        <v>41</v>
      </c>
      <c r="G4" s="4">
        <v>1.20723832601296</v>
      </c>
      <c r="H4" s="4">
        <v>0.32467700508917902</v>
      </c>
      <c r="I4" s="4">
        <f t="shared" si="1"/>
        <v>1</v>
      </c>
      <c r="J4" s="9" t="s">
        <v>48</v>
      </c>
      <c r="K4" s="4" t="s">
        <v>41</v>
      </c>
      <c r="L4" s="5">
        <v>-0.18636304276499599</v>
      </c>
      <c r="M4" s="5">
        <v>0.23172593259403701</v>
      </c>
      <c r="N4" s="5">
        <f t="shared" si="2"/>
        <v>0</v>
      </c>
      <c r="O4" s="8"/>
      <c r="P4" s="5" t="s">
        <v>42</v>
      </c>
      <c r="Q4" s="4">
        <v>-0.265224306333606</v>
      </c>
      <c r="R4" s="4">
        <v>6.8627751414874899E-2</v>
      </c>
      <c r="S4" s="4">
        <f t="shared" si="3"/>
        <v>0</v>
      </c>
      <c r="T4" s="9"/>
      <c r="U4" s="4" t="s">
        <v>42</v>
      </c>
      <c r="V4" s="5">
        <v>0.30112723547397802</v>
      </c>
      <c r="W4" s="5">
        <v>0.56432929388945197</v>
      </c>
      <c r="X4" s="5">
        <f t="shared" si="4"/>
        <v>0</v>
      </c>
      <c r="Y4" s="8"/>
      <c r="Z4" s="5" t="s">
        <v>41</v>
      </c>
      <c r="AA4" s="4">
        <v>-0.16109691829834699</v>
      </c>
      <c r="AB4" s="4">
        <v>0.38726058038123301</v>
      </c>
      <c r="AC4" s="4">
        <f t="shared" si="5"/>
        <v>0</v>
      </c>
      <c r="AD4" s="9"/>
      <c r="AE4" s="4" t="s">
        <v>43</v>
      </c>
      <c r="AF4" s="5">
        <v>0.123403999914382</v>
      </c>
      <c r="AG4" s="5">
        <v>0.152231894608124</v>
      </c>
      <c r="AH4" s="5">
        <f t="shared" si="6"/>
        <v>0</v>
      </c>
      <c r="AI4" s="8"/>
      <c r="AJ4" s="5" t="s">
        <v>43</v>
      </c>
      <c r="AK4" s="4">
        <v>1.11112053264503</v>
      </c>
      <c r="AL4" s="4">
        <v>0.43494900080712701</v>
      </c>
      <c r="AM4" s="4">
        <f t="shared" si="7"/>
        <v>1</v>
      </c>
      <c r="AN4" s="9" t="s">
        <v>54</v>
      </c>
      <c r="AO4" s="4" t="s">
        <v>41</v>
      </c>
      <c r="AP4" s="5">
        <v>0.86792452830188704</v>
      </c>
      <c r="AQ4" s="5">
        <v>0.34018123175779602</v>
      </c>
      <c r="AR4" s="5">
        <f t="shared" si="8"/>
        <v>1</v>
      </c>
      <c r="AS4" s="8" t="s">
        <v>55</v>
      </c>
      <c r="AT4" s="5" t="s">
        <v>41</v>
      </c>
      <c r="AU4" s="4">
        <v>0.55660377358490598</v>
      </c>
      <c r="AV4" s="4">
        <v>0.499145721241046</v>
      </c>
      <c r="AW4" s="4">
        <f t="shared" si="9"/>
        <v>1</v>
      </c>
      <c r="AX4" s="9" t="s">
        <v>56</v>
      </c>
      <c r="AY4" s="4" t="s">
        <v>41</v>
      </c>
      <c r="AZ4" s="5">
        <v>5.6603773584905703E-2</v>
      </c>
      <c r="BA4" s="5">
        <v>0.23218173010628601</v>
      </c>
      <c r="BB4" s="5">
        <f t="shared" si="10"/>
        <v>0</v>
      </c>
      <c r="BC4" s="8"/>
      <c r="BD4" s="5" t="s">
        <v>41</v>
      </c>
      <c r="BE4" s="4">
        <v>0</v>
      </c>
      <c r="BF4" s="4">
        <v>0</v>
      </c>
      <c r="BG4" s="4">
        <f t="shared" si="11"/>
        <v>0</v>
      </c>
      <c r="BH4" s="9"/>
      <c r="BI4" s="4" t="s">
        <v>43</v>
      </c>
      <c r="BJ4" s="5">
        <v>9.4339622641509396E-3</v>
      </c>
      <c r="BK4" s="5">
        <v>9.71285862357264E-2</v>
      </c>
      <c r="BL4" s="5">
        <f t="shared" si="12"/>
        <v>0</v>
      </c>
      <c r="BM4" s="8"/>
      <c r="BN4" s="5" t="s">
        <v>41</v>
      </c>
      <c r="BO4" s="2" t="s">
        <v>44</v>
      </c>
    </row>
    <row r="5" spans="1:67" ht="31.9" customHeight="1" x14ac:dyDescent="0.45">
      <c r="A5" s="2">
        <v>10</v>
      </c>
      <c r="B5" s="3">
        <v>-0.25872315165384802</v>
      </c>
      <c r="C5" s="3">
        <v>0.30497813693852299</v>
      </c>
      <c r="D5" s="3">
        <f t="shared" si="0"/>
        <v>0</v>
      </c>
      <c r="E5" s="10"/>
      <c r="F5" s="3" t="s">
        <v>43</v>
      </c>
      <c r="G5" s="4">
        <v>-1.0318967003125299</v>
      </c>
      <c r="H5" s="4">
        <v>0.206975512229395</v>
      </c>
      <c r="I5" s="4">
        <f t="shared" si="1"/>
        <v>0</v>
      </c>
      <c r="J5" s="9"/>
      <c r="K5" s="4" t="s">
        <v>42</v>
      </c>
      <c r="L5" s="5">
        <v>1.23980016960318</v>
      </c>
      <c r="M5" s="5">
        <v>0.197436554420339</v>
      </c>
      <c r="N5" s="5">
        <f t="shared" si="2"/>
        <v>1</v>
      </c>
      <c r="O5" s="8" t="s">
        <v>49</v>
      </c>
      <c r="P5" s="5" t="s">
        <v>41</v>
      </c>
      <c r="Q5" s="4">
        <v>0.106232262495299</v>
      </c>
      <c r="R5" s="4">
        <v>0.25632681263981699</v>
      </c>
      <c r="S5" s="4">
        <f t="shared" si="3"/>
        <v>1</v>
      </c>
      <c r="T5" s="9" t="s">
        <v>50</v>
      </c>
      <c r="U5" s="4" t="s">
        <v>41</v>
      </c>
      <c r="V5" s="5">
        <v>-0.45006063207057601</v>
      </c>
      <c r="W5" s="5">
        <v>0.17650048118307701</v>
      </c>
      <c r="X5" s="5">
        <f t="shared" si="4"/>
        <v>0</v>
      </c>
      <c r="Y5" s="8"/>
      <c r="Z5" s="5" t="s">
        <v>42</v>
      </c>
      <c r="AA5" s="4">
        <v>-0.283775682717338</v>
      </c>
      <c r="AB5" s="4">
        <v>0.196103014167336</v>
      </c>
      <c r="AC5" s="4">
        <f t="shared" si="5"/>
        <v>0</v>
      </c>
      <c r="AD5" s="9"/>
      <c r="AE5" s="4" t="s">
        <v>43</v>
      </c>
      <c r="AF5" s="5">
        <v>-0.273571654006041</v>
      </c>
      <c r="AG5" s="5">
        <v>0.36895077824181</v>
      </c>
      <c r="AH5" s="5">
        <f t="shared" si="6"/>
        <v>0</v>
      </c>
      <c r="AI5" s="8"/>
      <c r="AJ5" s="5" t="s">
        <v>43</v>
      </c>
      <c r="AK5" s="4">
        <v>-0.73882648087360803</v>
      </c>
      <c r="AL5" s="4">
        <v>9.3374014285965506E-2</v>
      </c>
      <c r="AM5" s="4">
        <f t="shared" si="7"/>
        <v>0</v>
      </c>
      <c r="AN5" s="9"/>
      <c r="AO5" s="4" t="s">
        <v>42</v>
      </c>
      <c r="AP5" s="5">
        <v>6.4102564102564097E-2</v>
      </c>
      <c r="AQ5" s="5">
        <v>0.24652091345879901</v>
      </c>
      <c r="AR5" s="5">
        <f t="shared" si="8"/>
        <v>0</v>
      </c>
      <c r="AS5" s="8"/>
      <c r="AT5" s="5" t="s">
        <v>41</v>
      </c>
      <c r="AU5" s="4">
        <v>1.2820512820512799E-2</v>
      </c>
      <c r="AV5" s="4">
        <v>0.11322770341445999</v>
      </c>
      <c r="AW5" s="4">
        <f t="shared" si="9"/>
        <v>0</v>
      </c>
      <c r="AX5" s="9"/>
      <c r="AY5" s="4" t="s">
        <v>41</v>
      </c>
      <c r="AZ5" s="5">
        <v>8.9743589743589702E-2</v>
      </c>
      <c r="BA5" s="5">
        <v>0.28766401017607801</v>
      </c>
      <c r="BB5" s="5">
        <f t="shared" si="10"/>
        <v>0</v>
      </c>
      <c r="BC5" s="8"/>
      <c r="BD5" s="5" t="s">
        <v>41</v>
      </c>
      <c r="BE5" s="4">
        <v>3.8461538461538498E-2</v>
      </c>
      <c r="BF5" s="4">
        <v>0.193552415284691</v>
      </c>
      <c r="BG5" s="4">
        <f t="shared" si="11"/>
        <v>1</v>
      </c>
      <c r="BH5" s="9" t="s">
        <v>59</v>
      </c>
      <c r="BI5" s="4" t="s">
        <v>41</v>
      </c>
      <c r="BJ5" s="5">
        <v>0</v>
      </c>
      <c r="BK5" s="5">
        <v>0</v>
      </c>
      <c r="BL5" s="5">
        <f t="shared" si="12"/>
        <v>0</v>
      </c>
      <c r="BM5" s="8"/>
      <c r="BN5" s="5" t="s">
        <v>43</v>
      </c>
      <c r="BO5" s="2" t="s">
        <v>44</v>
      </c>
    </row>
    <row r="6" spans="1:67" ht="31.9" customHeight="1" x14ac:dyDescent="0.45">
      <c r="A6" s="2">
        <v>18</v>
      </c>
      <c r="B6" s="3">
        <v>-0.440676980864941</v>
      </c>
      <c r="C6" s="3">
        <v>5.91663578893694E-3</v>
      </c>
      <c r="D6" s="3">
        <f t="shared" si="0"/>
        <v>0</v>
      </c>
      <c r="E6" s="10"/>
      <c r="F6" s="3" t="s">
        <v>42</v>
      </c>
      <c r="G6" s="4">
        <v>-0.35445874940983002</v>
      </c>
      <c r="H6" s="4">
        <v>0.43863018014296501</v>
      </c>
      <c r="I6" s="4">
        <f t="shared" si="1"/>
        <v>0</v>
      </c>
      <c r="J6" s="9"/>
      <c r="K6" s="4" t="s">
        <v>42</v>
      </c>
      <c r="L6" s="5">
        <v>0.67910744984222904</v>
      </c>
      <c r="M6" s="5">
        <v>0.28170890901714801</v>
      </c>
      <c r="N6" s="5">
        <f t="shared" si="2"/>
        <v>1</v>
      </c>
      <c r="O6" s="8" t="s">
        <v>49</v>
      </c>
      <c r="P6" s="5" t="s">
        <v>43</v>
      </c>
      <c r="Q6" s="4">
        <v>-0.38470738137951099</v>
      </c>
      <c r="R6" s="4">
        <v>6.6306477604702596E-2</v>
      </c>
      <c r="S6" s="4">
        <f t="shared" si="3"/>
        <v>0</v>
      </c>
      <c r="T6" s="9"/>
      <c r="U6" s="4" t="s">
        <v>42</v>
      </c>
      <c r="V6" s="5">
        <v>1.8836617692405</v>
      </c>
      <c r="W6" s="5">
        <v>0.59681777265837099</v>
      </c>
      <c r="X6" s="5">
        <f t="shared" si="4"/>
        <v>1</v>
      </c>
      <c r="Y6" s="8" t="s">
        <v>51</v>
      </c>
      <c r="Z6" s="5" t="s">
        <v>41</v>
      </c>
      <c r="AA6" s="4">
        <v>2.48403579660854E-2</v>
      </c>
      <c r="AB6" s="4">
        <v>0.65041528684244199</v>
      </c>
      <c r="AC6" s="4">
        <f t="shared" si="5"/>
        <v>0</v>
      </c>
      <c r="AD6" s="9"/>
      <c r="AE6" s="4" t="s">
        <v>41</v>
      </c>
      <c r="AF6" s="5">
        <v>2.3228342319337201</v>
      </c>
      <c r="AG6" s="5">
        <v>0.214047010778221</v>
      </c>
      <c r="AH6" s="5">
        <f t="shared" si="6"/>
        <v>1</v>
      </c>
      <c r="AI6" s="8" t="s">
        <v>53</v>
      </c>
      <c r="AJ6" s="5" t="s">
        <v>41</v>
      </c>
      <c r="AK6" s="4">
        <v>-0.290018024789988</v>
      </c>
      <c r="AL6" s="4">
        <v>0.12862461555106</v>
      </c>
      <c r="AM6" s="4">
        <f t="shared" si="7"/>
        <v>0</v>
      </c>
      <c r="AN6" s="9"/>
      <c r="AO6" s="4" t="s">
        <v>43</v>
      </c>
      <c r="AP6" s="5">
        <v>0</v>
      </c>
      <c r="AQ6" s="5">
        <v>0</v>
      </c>
      <c r="AR6" s="5">
        <f t="shared" si="8"/>
        <v>0</v>
      </c>
      <c r="AS6" s="8"/>
      <c r="AT6" s="5" t="s">
        <v>43</v>
      </c>
      <c r="AU6" s="4">
        <v>2.6315789473684199E-2</v>
      </c>
      <c r="AV6" s="4">
        <v>0.16222142113076299</v>
      </c>
      <c r="AW6" s="4">
        <f t="shared" si="9"/>
        <v>0</v>
      </c>
      <c r="AX6" s="9"/>
      <c r="AY6" s="4" t="s">
        <v>41</v>
      </c>
      <c r="AZ6" s="5">
        <v>0.157894736842105</v>
      </c>
      <c r="BA6" s="5">
        <v>0.36953702147663198</v>
      </c>
      <c r="BB6" s="5">
        <f t="shared" si="10"/>
        <v>0.5</v>
      </c>
      <c r="BC6" s="8" t="s">
        <v>57</v>
      </c>
      <c r="BD6" s="5" t="s">
        <v>41</v>
      </c>
      <c r="BE6" s="4">
        <v>0</v>
      </c>
      <c r="BF6" s="4">
        <v>0</v>
      </c>
      <c r="BG6" s="4">
        <f t="shared" si="11"/>
        <v>0</v>
      </c>
      <c r="BH6" s="9"/>
      <c r="BI6" s="4" t="s">
        <v>43</v>
      </c>
      <c r="BJ6" s="5">
        <v>0.105263157894737</v>
      </c>
      <c r="BK6" s="5">
        <v>0.31101174777590501</v>
      </c>
      <c r="BL6" s="5">
        <f t="shared" si="12"/>
        <v>0</v>
      </c>
      <c r="BM6" s="8"/>
      <c r="BN6" s="5" t="s">
        <v>41</v>
      </c>
      <c r="BO6" s="2" t="s">
        <v>44</v>
      </c>
    </row>
    <row r="7" spans="1:67" ht="31.9" customHeight="1" x14ac:dyDescent="0.45">
      <c r="A7" s="2">
        <v>20</v>
      </c>
      <c r="B7" s="3">
        <v>3.7343509606718499E-2</v>
      </c>
      <c r="C7" s="3">
        <v>0.40611896268991798</v>
      </c>
      <c r="D7" s="3">
        <f t="shared" si="0"/>
        <v>0</v>
      </c>
      <c r="E7" s="10"/>
      <c r="F7" s="3" t="s">
        <v>41</v>
      </c>
      <c r="G7" s="4">
        <v>0.28114737115667798</v>
      </c>
      <c r="H7" s="4">
        <v>0.40633155553574102</v>
      </c>
      <c r="I7" s="4">
        <f t="shared" si="1"/>
        <v>1</v>
      </c>
      <c r="J7" s="9" t="s">
        <v>48</v>
      </c>
      <c r="K7" s="4" t="s">
        <v>43</v>
      </c>
      <c r="L7" s="5">
        <v>-0.31732128905349699</v>
      </c>
      <c r="M7" s="5">
        <v>0.561096578173092</v>
      </c>
      <c r="N7" s="5">
        <f t="shared" si="2"/>
        <v>0</v>
      </c>
      <c r="O7" s="8"/>
      <c r="P7" s="5" t="s">
        <v>42</v>
      </c>
      <c r="Q7" s="4">
        <v>-0.179877838760337</v>
      </c>
      <c r="R7" s="4">
        <v>0.20085571664245599</v>
      </c>
      <c r="S7" s="4">
        <f t="shared" si="3"/>
        <v>0</v>
      </c>
      <c r="T7" s="9"/>
      <c r="U7" s="4" t="s">
        <v>43</v>
      </c>
      <c r="V7" s="5">
        <v>1.43164120378608</v>
      </c>
      <c r="W7" s="5">
        <v>0.56174118690744301</v>
      </c>
      <c r="X7" s="5">
        <f t="shared" si="4"/>
        <v>1</v>
      </c>
      <c r="Y7" s="8" t="s">
        <v>51</v>
      </c>
      <c r="Z7" s="5" t="s">
        <v>41</v>
      </c>
      <c r="AA7" s="4">
        <v>-0.23043115213021401</v>
      </c>
      <c r="AB7" s="4">
        <v>0.29216897738545</v>
      </c>
      <c r="AC7" s="4">
        <f t="shared" si="5"/>
        <v>0</v>
      </c>
      <c r="AD7" s="9"/>
      <c r="AE7" s="4" t="s">
        <v>43</v>
      </c>
      <c r="AF7" s="5">
        <v>-0.43888944683458597</v>
      </c>
      <c r="AG7" s="5">
        <v>0.23956196389368001</v>
      </c>
      <c r="AH7" s="5">
        <f t="shared" si="6"/>
        <v>0</v>
      </c>
      <c r="AI7" s="8"/>
      <c r="AJ7" s="5" t="s">
        <v>42</v>
      </c>
      <c r="AK7" s="4">
        <v>-6.9254151626540403E-2</v>
      </c>
      <c r="AL7" s="4">
        <v>0.45770452696306102</v>
      </c>
      <c r="AM7" s="4">
        <f t="shared" si="7"/>
        <v>0</v>
      </c>
      <c r="AN7" s="9"/>
      <c r="AO7" s="4" t="s">
        <v>43</v>
      </c>
      <c r="AP7" s="5">
        <v>0.11267605633802801</v>
      </c>
      <c r="AQ7" s="5">
        <v>0.31844693546056502</v>
      </c>
      <c r="AR7" s="5">
        <f t="shared" si="8"/>
        <v>0</v>
      </c>
      <c r="AS7" s="8"/>
      <c r="AT7" s="5" t="s">
        <v>41</v>
      </c>
      <c r="AU7" s="4">
        <v>8.4507042253521097E-2</v>
      </c>
      <c r="AV7" s="4">
        <v>0.28012644457405</v>
      </c>
      <c r="AW7" s="4">
        <f t="shared" si="9"/>
        <v>0</v>
      </c>
      <c r="AX7" s="9"/>
      <c r="AY7" s="4" t="s">
        <v>41</v>
      </c>
      <c r="AZ7" s="5">
        <v>0.140845070422535</v>
      </c>
      <c r="BA7" s="5">
        <v>0.35033757793172299</v>
      </c>
      <c r="BB7" s="5">
        <f t="shared" si="10"/>
        <v>0.5</v>
      </c>
      <c r="BC7" s="8" t="s">
        <v>57</v>
      </c>
      <c r="BD7" s="5" t="s">
        <v>41</v>
      </c>
      <c r="BE7" s="4">
        <v>0</v>
      </c>
      <c r="BF7" s="4">
        <v>0</v>
      </c>
      <c r="BG7" s="4">
        <f t="shared" si="11"/>
        <v>0</v>
      </c>
      <c r="BH7" s="9"/>
      <c r="BI7" s="4" t="s">
        <v>43</v>
      </c>
      <c r="BJ7" s="5">
        <v>5.63380281690141E-2</v>
      </c>
      <c r="BK7" s="5">
        <v>0.232214429455805</v>
      </c>
      <c r="BL7" s="5">
        <f t="shared" si="12"/>
        <v>0</v>
      </c>
      <c r="BM7" s="8"/>
      <c r="BN7" s="5" t="s">
        <v>41</v>
      </c>
      <c r="BO7" s="2" t="s">
        <v>44</v>
      </c>
    </row>
    <row r="8" spans="1:67" ht="31.9" customHeight="1" x14ac:dyDescent="0.45">
      <c r="A8" s="2">
        <v>21</v>
      </c>
      <c r="B8" s="3">
        <v>3.32367173861756</v>
      </c>
      <c r="C8" s="3">
        <v>0.74302704743061998</v>
      </c>
      <c r="D8" s="3">
        <f t="shared" si="0"/>
        <v>1</v>
      </c>
      <c r="E8" s="10" t="s">
        <v>47</v>
      </c>
      <c r="F8" s="3" t="s">
        <v>41</v>
      </c>
      <c r="G8" s="4">
        <v>0.75084486959653496</v>
      </c>
      <c r="H8" s="4">
        <v>0.57396479555668101</v>
      </c>
      <c r="I8" s="4">
        <f t="shared" si="1"/>
        <v>1</v>
      </c>
      <c r="J8" s="9" t="s">
        <v>48</v>
      </c>
      <c r="K8" s="4" t="s">
        <v>41</v>
      </c>
      <c r="L8" s="5">
        <v>-0.77024428464247796</v>
      </c>
      <c r="M8" s="5">
        <v>0.36676469556472602</v>
      </c>
      <c r="N8" s="5">
        <f t="shared" si="2"/>
        <v>0</v>
      </c>
      <c r="O8" s="8"/>
      <c r="P8" s="5" t="s">
        <v>42</v>
      </c>
      <c r="Q8" s="4">
        <v>-0.17331463872885999</v>
      </c>
      <c r="R8" s="4">
        <v>0.117144920484326</v>
      </c>
      <c r="S8" s="4">
        <f t="shared" si="3"/>
        <v>0</v>
      </c>
      <c r="T8" s="9"/>
      <c r="U8" s="4" t="s">
        <v>43</v>
      </c>
      <c r="V8" s="5">
        <v>1.6656041655501701E-2</v>
      </c>
      <c r="W8" s="5">
        <v>0.51082502928038098</v>
      </c>
      <c r="X8" s="5">
        <f t="shared" si="4"/>
        <v>0</v>
      </c>
      <c r="Y8" s="8"/>
      <c r="Z8" s="5" t="s">
        <v>41</v>
      </c>
      <c r="AA8" s="4">
        <v>-0.22897037007819701</v>
      </c>
      <c r="AB8" s="4">
        <v>0.27447516772959701</v>
      </c>
      <c r="AC8" s="4">
        <f t="shared" si="5"/>
        <v>0</v>
      </c>
      <c r="AD8" s="9"/>
      <c r="AE8" s="4" t="s">
        <v>43</v>
      </c>
      <c r="AF8" s="5">
        <v>-0.37221641685219597</v>
      </c>
      <c r="AG8" s="5">
        <v>0.24013829908834899</v>
      </c>
      <c r="AH8" s="5">
        <f t="shared" si="6"/>
        <v>0</v>
      </c>
      <c r="AI8" s="8"/>
      <c r="AJ8" s="5" t="s">
        <v>42</v>
      </c>
      <c r="AK8" s="4">
        <v>0.20138674479324001</v>
      </c>
      <c r="AL8" s="4">
        <v>0.56146196297981399</v>
      </c>
      <c r="AM8" s="4">
        <f t="shared" si="7"/>
        <v>1</v>
      </c>
      <c r="AN8" s="9" t="s">
        <v>54</v>
      </c>
      <c r="AO8" s="4" t="s">
        <v>43</v>
      </c>
      <c r="AP8" s="5">
        <v>9.0909090909090898E-2</v>
      </c>
      <c r="AQ8" s="5">
        <v>0.291937104060571</v>
      </c>
      <c r="AR8" s="5">
        <f t="shared" si="8"/>
        <v>0</v>
      </c>
      <c r="AS8" s="8"/>
      <c r="AT8" s="5" t="s">
        <v>41</v>
      </c>
      <c r="AU8" s="4">
        <v>6.0606060606060601E-2</v>
      </c>
      <c r="AV8" s="4">
        <v>0.24230584229877999</v>
      </c>
      <c r="AW8" s="4">
        <f t="shared" si="9"/>
        <v>0</v>
      </c>
      <c r="AX8" s="9"/>
      <c r="AY8" s="4" t="s">
        <v>41</v>
      </c>
      <c r="AZ8" s="5">
        <v>0</v>
      </c>
      <c r="BA8" s="5">
        <v>0</v>
      </c>
      <c r="BB8" s="5">
        <f t="shared" si="10"/>
        <v>0</v>
      </c>
      <c r="BC8" s="8"/>
      <c r="BD8" s="5" t="s">
        <v>43</v>
      </c>
      <c r="BE8" s="4">
        <v>0</v>
      </c>
      <c r="BF8" s="4">
        <v>0</v>
      </c>
      <c r="BG8" s="4">
        <f t="shared" si="11"/>
        <v>0</v>
      </c>
      <c r="BH8" s="9"/>
      <c r="BI8" s="4" t="s">
        <v>43</v>
      </c>
      <c r="BJ8" s="5">
        <v>0.15151515151515199</v>
      </c>
      <c r="BK8" s="5">
        <v>0.36410954062721002</v>
      </c>
      <c r="BL8" s="5">
        <f t="shared" si="12"/>
        <v>0.5</v>
      </c>
      <c r="BM8" s="8" t="s">
        <v>61</v>
      </c>
      <c r="BN8" s="5" t="s">
        <v>41</v>
      </c>
      <c r="BO8" s="2" t="s">
        <v>44</v>
      </c>
    </row>
    <row r="9" spans="1:67" ht="31.9" customHeight="1" x14ac:dyDescent="0.45">
      <c r="A9" s="2">
        <v>26</v>
      </c>
      <c r="B9" s="3">
        <v>-0.12836282044778899</v>
      </c>
      <c r="C9" s="3">
        <v>0.27909990860030198</v>
      </c>
      <c r="D9" s="3">
        <f t="shared" si="0"/>
        <v>0</v>
      </c>
      <c r="E9" s="10"/>
      <c r="F9" s="3" t="s">
        <v>43</v>
      </c>
      <c r="G9" s="4">
        <v>-0.52058012090184902</v>
      </c>
      <c r="H9" s="4">
        <v>0.422255269162299</v>
      </c>
      <c r="I9" s="4">
        <f t="shared" si="1"/>
        <v>0</v>
      </c>
      <c r="J9" s="9"/>
      <c r="K9" s="4" t="s">
        <v>42</v>
      </c>
      <c r="L9" s="5">
        <v>0.915831861748308</v>
      </c>
      <c r="M9" s="5">
        <v>0.40826048568233603</v>
      </c>
      <c r="N9" s="5">
        <f t="shared" si="2"/>
        <v>1</v>
      </c>
      <c r="O9" s="8" t="s">
        <v>49</v>
      </c>
      <c r="P9" s="5" t="s">
        <v>43</v>
      </c>
      <c r="Q9" s="4">
        <v>-4.7542159487341598E-2</v>
      </c>
      <c r="R9" s="4">
        <v>0.17375714750812499</v>
      </c>
      <c r="S9" s="4">
        <f t="shared" si="3"/>
        <v>0</v>
      </c>
      <c r="T9" s="9"/>
      <c r="U9" s="4" t="s">
        <v>41</v>
      </c>
      <c r="V9" s="5">
        <v>-0.31173719741275902</v>
      </c>
      <c r="W9" s="5">
        <v>0.25403362202082302</v>
      </c>
      <c r="X9" s="5">
        <f t="shared" si="4"/>
        <v>0</v>
      </c>
      <c r="Y9" s="8"/>
      <c r="Z9" s="5" t="s">
        <v>43</v>
      </c>
      <c r="AA9" s="4">
        <v>1.1858748781762001</v>
      </c>
      <c r="AB9" s="4">
        <v>0.42191355408312398</v>
      </c>
      <c r="AC9" s="4">
        <f t="shared" si="5"/>
        <v>1</v>
      </c>
      <c r="AD9" s="9" t="s">
        <v>52</v>
      </c>
      <c r="AE9" s="4" t="s">
        <v>41</v>
      </c>
      <c r="AF9" s="5">
        <v>-7.6493639945777805E-2</v>
      </c>
      <c r="AG9" s="5">
        <v>0.49953050567095703</v>
      </c>
      <c r="AH9" s="5">
        <f t="shared" si="6"/>
        <v>0</v>
      </c>
      <c r="AI9" s="8"/>
      <c r="AJ9" s="5" t="s">
        <v>43</v>
      </c>
      <c r="AK9" s="4">
        <v>-0.515906175946795</v>
      </c>
      <c r="AL9" s="4">
        <v>0.29298440288067801</v>
      </c>
      <c r="AM9" s="4">
        <f t="shared" si="7"/>
        <v>0</v>
      </c>
      <c r="AN9" s="9"/>
      <c r="AO9" s="4" t="s">
        <v>42</v>
      </c>
      <c r="AP9" s="5">
        <v>2.0833333333333301E-2</v>
      </c>
      <c r="AQ9" s="5">
        <v>0.14433756729740599</v>
      </c>
      <c r="AR9" s="5">
        <f t="shared" si="8"/>
        <v>0</v>
      </c>
      <c r="AS9" s="8"/>
      <c r="AT9" s="5" t="s">
        <v>41</v>
      </c>
      <c r="AU9" s="4">
        <v>0.25</v>
      </c>
      <c r="AV9" s="4">
        <v>0.43759497449368401</v>
      </c>
      <c r="AW9" s="4">
        <f t="shared" si="9"/>
        <v>1</v>
      </c>
      <c r="AX9" s="9" t="s">
        <v>56</v>
      </c>
      <c r="AY9" s="4" t="s">
        <v>41</v>
      </c>
      <c r="AZ9" s="5">
        <v>8.3333333333333301E-2</v>
      </c>
      <c r="BA9" s="5">
        <v>0.27931019386546402</v>
      </c>
      <c r="BB9" s="5">
        <f t="shared" si="10"/>
        <v>0</v>
      </c>
      <c r="BC9" s="8"/>
      <c r="BD9" s="5" t="s">
        <v>41</v>
      </c>
      <c r="BE9" s="4">
        <v>0</v>
      </c>
      <c r="BF9" s="4">
        <v>0</v>
      </c>
      <c r="BG9" s="4">
        <f t="shared" si="11"/>
        <v>0</v>
      </c>
      <c r="BH9" s="9"/>
      <c r="BI9" s="4" t="s">
        <v>43</v>
      </c>
      <c r="BJ9" s="5">
        <v>8.3333333333333301E-2</v>
      </c>
      <c r="BK9" s="5">
        <v>0.27931019386546402</v>
      </c>
      <c r="BL9" s="5">
        <f t="shared" si="12"/>
        <v>0</v>
      </c>
      <c r="BM9" s="8"/>
      <c r="BN9" s="5" t="s">
        <v>41</v>
      </c>
      <c r="BO9" s="2" t="s">
        <v>44</v>
      </c>
    </row>
    <row r="10" spans="1:67" ht="31.9" customHeight="1" x14ac:dyDescent="0.45">
      <c r="A10" s="2">
        <v>29</v>
      </c>
      <c r="B10" s="3">
        <v>-0.43916308249679498</v>
      </c>
      <c r="C10" s="3">
        <v>5.88348770065891E-3</v>
      </c>
      <c r="D10" s="3">
        <f t="shared" si="0"/>
        <v>0</v>
      </c>
      <c r="E10" s="10"/>
      <c r="F10" s="3" t="s">
        <v>42</v>
      </c>
      <c r="G10" s="4">
        <v>-5.5321782640842997E-2</v>
      </c>
      <c r="H10" s="4">
        <v>0.43420449863713501</v>
      </c>
      <c r="I10" s="4">
        <f t="shared" si="1"/>
        <v>0</v>
      </c>
      <c r="J10" s="9"/>
      <c r="K10" s="4" t="s">
        <v>43</v>
      </c>
      <c r="L10" s="5">
        <v>0.49641766388690201</v>
      </c>
      <c r="M10" s="5">
        <v>0.27089676507204702</v>
      </c>
      <c r="N10" s="5">
        <f t="shared" si="2"/>
        <v>1</v>
      </c>
      <c r="O10" s="8" t="s">
        <v>49</v>
      </c>
      <c r="P10" s="5" t="s">
        <v>43</v>
      </c>
      <c r="Q10" s="4">
        <v>-0.40278157774777101</v>
      </c>
      <c r="R10" s="4">
        <v>4.0029710232682598E-2</v>
      </c>
      <c r="S10" s="4">
        <f t="shared" si="3"/>
        <v>0</v>
      </c>
      <c r="T10" s="9"/>
      <c r="U10" s="4" t="s">
        <v>42</v>
      </c>
      <c r="V10" s="5">
        <v>3.8335656191602001</v>
      </c>
      <c r="W10" s="5">
        <v>0.96555135501022005</v>
      </c>
      <c r="X10" s="5">
        <f t="shared" si="4"/>
        <v>1</v>
      </c>
      <c r="Y10" s="8" t="s">
        <v>51</v>
      </c>
      <c r="Z10" s="5" t="s">
        <v>41</v>
      </c>
      <c r="AA10" s="4">
        <v>0.59925838090439099</v>
      </c>
      <c r="AB10" s="4">
        <v>1.3610043919491399</v>
      </c>
      <c r="AC10" s="4">
        <f t="shared" si="5"/>
        <v>0</v>
      </c>
      <c r="AD10" s="9"/>
      <c r="AE10" s="4" t="s">
        <v>41</v>
      </c>
      <c r="AF10" s="5">
        <v>2.4234810771396198</v>
      </c>
      <c r="AG10" s="5">
        <v>9.1650247589353404E-2</v>
      </c>
      <c r="AH10" s="5">
        <f t="shared" si="6"/>
        <v>1</v>
      </c>
      <c r="AI10" s="8" t="s">
        <v>53</v>
      </c>
      <c r="AJ10" s="5" t="s">
        <v>41</v>
      </c>
      <c r="AK10" s="4">
        <v>-0.243912633230463</v>
      </c>
      <c r="AL10" s="4">
        <v>0.126027178207234</v>
      </c>
      <c r="AM10" s="4">
        <f t="shared" si="7"/>
        <v>0</v>
      </c>
      <c r="AN10" s="9"/>
      <c r="AO10" s="4" t="s">
        <v>43</v>
      </c>
      <c r="AP10" s="5">
        <v>0</v>
      </c>
      <c r="AQ10" s="5">
        <v>0</v>
      </c>
      <c r="AR10" s="5">
        <f t="shared" si="8"/>
        <v>0</v>
      </c>
      <c r="AS10" s="8"/>
      <c r="AT10" s="5" t="s">
        <v>43</v>
      </c>
      <c r="AU10" s="4">
        <v>2.2222222222222199E-2</v>
      </c>
      <c r="AV10" s="4">
        <v>0.14907119849998601</v>
      </c>
      <c r="AW10" s="4">
        <f t="shared" si="9"/>
        <v>0</v>
      </c>
      <c r="AX10" s="9"/>
      <c r="AY10" s="4" t="s">
        <v>41</v>
      </c>
      <c r="AZ10" s="5">
        <v>0.24444444444444399</v>
      </c>
      <c r="BA10" s="5">
        <v>0.43461349368017699</v>
      </c>
      <c r="BB10" s="5">
        <f t="shared" si="10"/>
        <v>1</v>
      </c>
      <c r="BC10" s="8" t="s">
        <v>58</v>
      </c>
      <c r="BD10" s="5" t="s">
        <v>41</v>
      </c>
      <c r="BE10" s="4">
        <v>0</v>
      </c>
      <c r="BF10" s="4">
        <v>0</v>
      </c>
      <c r="BG10" s="4">
        <f t="shared" si="11"/>
        <v>0</v>
      </c>
      <c r="BH10" s="9"/>
      <c r="BI10" s="4" t="s">
        <v>43</v>
      </c>
      <c r="BJ10" s="5">
        <v>0.11111111111111099</v>
      </c>
      <c r="BK10" s="5">
        <v>0.31782086308186402</v>
      </c>
      <c r="BL10" s="5">
        <f t="shared" si="12"/>
        <v>0</v>
      </c>
      <c r="BM10" s="8"/>
      <c r="BN10" s="5" t="s">
        <v>41</v>
      </c>
      <c r="BO10" s="2" t="s">
        <v>44</v>
      </c>
    </row>
    <row r="11" spans="1:67" ht="31.9" customHeight="1" x14ac:dyDescent="0.45">
      <c r="A11" s="2">
        <v>31</v>
      </c>
      <c r="B11" s="3">
        <v>0.34658668937627801</v>
      </c>
      <c r="C11" s="3">
        <v>1.8519036241815201</v>
      </c>
      <c r="D11" s="3">
        <f t="shared" si="0"/>
        <v>0</v>
      </c>
      <c r="E11" s="10"/>
      <c r="F11" s="3" t="s">
        <v>41</v>
      </c>
      <c r="G11" s="4">
        <v>-0.56324509781799803</v>
      </c>
      <c r="H11" s="4">
        <v>0.55026382660725104</v>
      </c>
      <c r="I11" s="4">
        <f t="shared" si="1"/>
        <v>0</v>
      </c>
      <c r="J11" s="9"/>
      <c r="K11" s="4" t="s">
        <v>42</v>
      </c>
      <c r="L11" s="5">
        <v>0.95102558464158304</v>
      </c>
      <c r="M11" s="5">
        <v>0.36508810782377799</v>
      </c>
      <c r="N11" s="5">
        <f t="shared" si="2"/>
        <v>1</v>
      </c>
      <c r="O11" s="8" t="s">
        <v>49</v>
      </c>
      <c r="P11" s="5" t="s">
        <v>43</v>
      </c>
      <c r="Q11" s="4">
        <v>-0.14921463528833401</v>
      </c>
      <c r="R11" s="4">
        <v>0.20142277799707201</v>
      </c>
      <c r="S11" s="4">
        <f t="shared" si="3"/>
        <v>0</v>
      </c>
      <c r="T11" s="9"/>
      <c r="U11" s="4" t="s">
        <v>43</v>
      </c>
      <c r="V11" s="5">
        <v>-8.1870026972179297E-3</v>
      </c>
      <c r="W11" s="5">
        <v>0.99188611191691001</v>
      </c>
      <c r="X11" s="5">
        <f t="shared" si="4"/>
        <v>0</v>
      </c>
      <c r="Y11" s="8"/>
      <c r="Z11" s="5" t="s">
        <v>41</v>
      </c>
      <c r="AA11" s="4">
        <v>6.1148485418142098</v>
      </c>
      <c r="AB11" s="4">
        <v>1.6332478422291601</v>
      </c>
      <c r="AC11" s="4">
        <f t="shared" si="5"/>
        <v>1</v>
      </c>
      <c r="AD11" s="9" t="s">
        <v>52</v>
      </c>
      <c r="AE11" s="4" t="s">
        <v>41</v>
      </c>
      <c r="AF11" s="5">
        <v>0.938466649822295</v>
      </c>
      <c r="AG11" s="5">
        <v>0.85831445955347796</v>
      </c>
      <c r="AH11" s="5">
        <f t="shared" si="6"/>
        <v>1</v>
      </c>
      <c r="AI11" s="8" t="s">
        <v>53</v>
      </c>
      <c r="AJ11" s="5" t="s">
        <v>41</v>
      </c>
      <c r="AK11" s="4">
        <v>-0.35051713666388501</v>
      </c>
      <c r="AL11" s="4">
        <v>0.313859803988981</v>
      </c>
      <c r="AM11" s="4">
        <f t="shared" si="7"/>
        <v>0</v>
      </c>
      <c r="AN11" s="9"/>
      <c r="AO11" s="4" t="s">
        <v>43</v>
      </c>
      <c r="AP11" s="5">
        <v>4.1666666666666699E-2</v>
      </c>
      <c r="AQ11" s="5">
        <v>0.20412414523193201</v>
      </c>
      <c r="AR11" s="5">
        <f t="shared" si="8"/>
        <v>0</v>
      </c>
      <c r="AS11" s="8"/>
      <c r="AT11" s="5" t="s">
        <v>41</v>
      </c>
      <c r="AU11" s="4">
        <v>0.16666666666666699</v>
      </c>
      <c r="AV11" s="4">
        <v>0.38069349381344098</v>
      </c>
      <c r="AW11" s="4">
        <f t="shared" si="9"/>
        <v>0</v>
      </c>
      <c r="AX11" s="9"/>
      <c r="AY11" s="4" t="s">
        <v>41</v>
      </c>
      <c r="AZ11" s="5">
        <v>0</v>
      </c>
      <c r="BA11" s="5">
        <v>0</v>
      </c>
      <c r="BB11" s="5">
        <f t="shared" si="10"/>
        <v>0</v>
      </c>
      <c r="BC11" s="8"/>
      <c r="BD11" s="5" t="s">
        <v>43</v>
      </c>
      <c r="BE11" s="4">
        <v>0</v>
      </c>
      <c r="BF11" s="4">
        <v>0</v>
      </c>
      <c r="BG11" s="4">
        <f t="shared" si="11"/>
        <v>0</v>
      </c>
      <c r="BH11" s="9"/>
      <c r="BI11" s="4" t="s">
        <v>43</v>
      </c>
      <c r="BJ11" s="5">
        <v>0.25</v>
      </c>
      <c r="BK11" s="5">
        <v>0.44232586846469102</v>
      </c>
      <c r="BL11" s="5">
        <f t="shared" si="12"/>
        <v>1</v>
      </c>
      <c r="BM11" s="8" t="s">
        <v>60</v>
      </c>
      <c r="BN11" s="5" t="s">
        <v>41</v>
      </c>
      <c r="BO11" s="2" t="s">
        <v>44</v>
      </c>
    </row>
    <row r="12" spans="1:67" ht="31.9" customHeight="1" x14ac:dyDescent="0.45">
      <c r="A12" s="2"/>
      <c r="B12" s="6">
        <f>AVERAGE(B2:B11)</f>
        <v>0.51973944276892448</v>
      </c>
      <c r="C12" s="6">
        <f>SQRT(SUMSQ(C2:C11) )/ COUNT(C2:C11)</f>
        <v>0.23447978094127581</v>
      </c>
      <c r="D12" s="7">
        <f>SUM(B12:C12)</f>
        <v>0.75421922371020034</v>
      </c>
      <c r="E12" s="2"/>
      <c r="F12" s="2"/>
      <c r="G12" s="6">
        <f>AVERAGE(G2:G11)</f>
        <v>-1.6296674649357291E-2</v>
      </c>
      <c r="H12" s="6">
        <f>SQRT(SUMSQ(H2:H11) )/ COUNT(H2:H11)</f>
        <v>0.14006942207108361</v>
      </c>
      <c r="I12" s="7">
        <f>SUM(G12:H12)</f>
        <v>0.12377274742172632</v>
      </c>
      <c r="J12" s="2"/>
      <c r="K12" s="2"/>
      <c r="L12" s="6">
        <f>AVERAGE(L2:L11)</f>
        <v>0.26618635904524374</v>
      </c>
      <c r="M12" s="6">
        <f>SQRT(SUMSQ(M2:M11) )/ COUNT(M2:M11)</f>
        <v>0.12745896289407654</v>
      </c>
      <c r="N12" s="7">
        <f>SUM(L12:M12)</f>
        <v>0.39364532193932028</v>
      </c>
      <c r="O12" s="2"/>
      <c r="P12" s="2"/>
      <c r="Q12" s="6">
        <f>AVERAGE(Q2:Q11)</f>
        <v>-6.6976098452460359E-2</v>
      </c>
      <c r="R12" s="6">
        <f>SQRT(SUMSQ(R2:R11) )/ COUNT(R2:R11)</f>
        <v>0.10035456706383079</v>
      </c>
      <c r="S12" s="7">
        <f>SUM(Q12:R12)</f>
        <v>3.3378468611370435E-2</v>
      </c>
      <c r="T12" s="2"/>
      <c r="U12" s="2"/>
      <c r="V12" s="6">
        <f>AVERAGE(V2:V11)</f>
        <v>0.98720079010648742</v>
      </c>
      <c r="W12" s="6">
        <f>SQRT(SUMSQ(W2:W11) )/ COUNT(W2:W11)</f>
        <v>0.23239550842803119</v>
      </c>
      <c r="X12" s="7">
        <f>SUM(V12:W12)</f>
        <v>1.2195962985345186</v>
      </c>
      <c r="Y12" s="2"/>
      <c r="Z12" s="2"/>
      <c r="AA12" s="6">
        <f>AVERAGE(AA2:AA11)</f>
        <v>0.67228344115532379</v>
      </c>
      <c r="AB12" s="6">
        <f>SQRT(SUMSQ(AB2:AB11) )/ COUNT(AB2:AB11)</f>
        <v>0.2442292829291822</v>
      </c>
      <c r="AC12" s="7">
        <f>SUM(AA12:AB12)</f>
        <v>0.91651272408450601</v>
      </c>
      <c r="AD12" s="2"/>
      <c r="AE12" s="2"/>
      <c r="AF12" s="6">
        <f>AVERAGE(AF2:AF11)</f>
        <v>0.38151860986548591</v>
      </c>
      <c r="AG12" s="6">
        <f>SQRT(SUMSQ(AG2:AG11) )/ COUNT(AG2:AG11)</f>
        <v>0.14120160025299952</v>
      </c>
      <c r="AH12" s="7">
        <f>SUM(AF12:AG12)</f>
        <v>0.52272021011848546</v>
      </c>
      <c r="AI12" s="2"/>
      <c r="AJ12" s="2"/>
      <c r="AK12" s="6">
        <f>AVERAGE(AK2:AK11)</f>
        <v>-0.11860122435723734</v>
      </c>
      <c r="AL12" s="6">
        <f>SQRT(SUMSQ(AL2:AL11) )/ COUNT(AL2:AL11)</f>
        <v>0.12092177873349737</v>
      </c>
      <c r="AM12" s="7">
        <f>SUM(AK12:AL12)</f>
        <v>2.3205543762600256E-3</v>
      </c>
      <c r="AN12" s="2"/>
      <c r="AO12" s="2"/>
      <c r="AP12" s="6">
        <f>AVERAGE(AP2:AP11)</f>
        <v>0.12863475337692171</v>
      </c>
      <c r="AQ12" s="6">
        <f>SQRT(SUMSQ(AQ2:AQ11) )/ COUNT(AQ2:AQ11)</f>
        <v>7.1310536050367038E-2</v>
      </c>
      <c r="AR12" s="7">
        <f>SUM(AP12:AQ12)</f>
        <v>0.19994528942728873</v>
      </c>
      <c r="AS12" s="2"/>
      <c r="AT12" s="2"/>
      <c r="AU12" s="6">
        <f>AVERAGE(AU2:AU11)</f>
        <v>0.13268008911569856</v>
      </c>
      <c r="AV12" s="6">
        <f>SQRT(SUMSQ(AV2:AV11) )/ COUNT(AV2:AV11)</f>
        <v>9.5568736061117196E-2</v>
      </c>
      <c r="AW12" s="7">
        <f>SUM(AU12:AV12)</f>
        <v>0.22824882517681577</v>
      </c>
      <c r="AX12" s="2"/>
      <c r="AY12" s="2"/>
      <c r="AZ12" s="6">
        <f>AVERAGE(AZ2:AZ11)</f>
        <v>8.1286494837091272E-2</v>
      </c>
      <c r="BA12" s="6">
        <f>SQRT(SUMSQ(BA2:BA11) )/ COUNT(BA2:BA11)</f>
        <v>8.3836509981312451E-2</v>
      </c>
      <c r="BB12" s="7">
        <f>SUM(AZ12:BA12)</f>
        <v>0.16512300481840372</v>
      </c>
      <c r="BC12" s="2"/>
      <c r="BD12" s="2"/>
      <c r="BE12" s="6">
        <f>AVERAGE(BE2:BE11)</f>
        <v>7.8461538461538499E-3</v>
      </c>
      <c r="BF12" s="6">
        <f>SQRT(SUMSQ(BF2:BF11) )/ COUNT(BF2:BF11)</f>
        <v>2.7832092530483132E-2</v>
      </c>
      <c r="BG12" s="7">
        <f>SUM(BE12:BF12)</f>
        <v>3.5678246376636982E-2</v>
      </c>
      <c r="BH12" s="2"/>
      <c r="BI12" s="2"/>
      <c r="BJ12" s="6">
        <f>AVERAGE(BJ2:BJ11)</f>
        <v>9.2699474428749845E-2</v>
      </c>
      <c r="BK12" s="6">
        <f>SQRT(SUMSQ(BK2:BK11) )/ COUNT(BK2:BK11)</f>
        <v>8.9851990944125673E-2</v>
      </c>
      <c r="BL12" s="7">
        <f>SUM(BJ12:BK12)</f>
        <v>0.18255146537287553</v>
      </c>
      <c r="BM12" s="2"/>
      <c r="BN12" s="2"/>
      <c r="BO12" s="2"/>
    </row>
    <row r="13" spans="1:67" ht="31.9" customHeight="1" x14ac:dyDescent="0.45">
      <c r="D13" s="1">
        <f>B12+(C12/10)</f>
        <v>0.54318742086305205</v>
      </c>
      <c r="N13" s="1">
        <f>L12+(M12/2)</f>
        <v>0.32991584049228201</v>
      </c>
    </row>
    <row r="15" spans="1:67" ht="31.9" customHeight="1" x14ac:dyDescent="0.45">
      <c r="A15" s="11" t="s">
        <v>0</v>
      </c>
    </row>
    <row r="16" spans="1:67" ht="31.9" customHeight="1" x14ac:dyDescent="0.45">
      <c r="A16" s="2">
        <v>1</v>
      </c>
      <c r="B16" s="14"/>
      <c r="C16" s="15" t="s">
        <v>48</v>
      </c>
      <c r="D16" s="16"/>
      <c r="E16" s="15" t="s">
        <v>50</v>
      </c>
      <c r="F16" s="16" t="s">
        <v>51</v>
      </c>
      <c r="G16" s="15"/>
      <c r="H16" s="16"/>
      <c r="I16" s="15" t="s">
        <v>54</v>
      </c>
      <c r="J16" s="16"/>
      <c r="K16" s="15"/>
      <c r="L16" s="16"/>
      <c r="M16" s="15"/>
      <c r="N16" s="16"/>
      <c r="O16" s="1">
        <v>4</v>
      </c>
    </row>
    <row r="17" spans="1:16" ht="31.9" customHeight="1" x14ac:dyDescent="0.45">
      <c r="A17" s="17">
        <v>2</v>
      </c>
      <c r="B17" s="18" t="s">
        <v>47</v>
      </c>
      <c r="C17" s="18"/>
      <c r="D17" s="18" t="s">
        <v>49</v>
      </c>
      <c r="E17" s="18" t="s">
        <v>50</v>
      </c>
      <c r="F17" s="18" t="s">
        <v>43</v>
      </c>
      <c r="G17" s="18" t="s">
        <v>41</v>
      </c>
      <c r="H17" s="18" t="s">
        <v>42</v>
      </c>
      <c r="I17" s="18" t="s">
        <v>42</v>
      </c>
      <c r="J17" s="18" t="s">
        <v>43</v>
      </c>
      <c r="K17" s="18" t="s">
        <v>43</v>
      </c>
      <c r="L17" s="18" t="s">
        <v>41</v>
      </c>
      <c r="M17" s="18" t="s">
        <v>59</v>
      </c>
      <c r="N17" s="18" t="s">
        <v>61</v>
      </c>
      <c r="O17" s="19">
        <v>4.5</v>
      </c>
      <c r="P17" s="19">
        <v>0.5</v>
      </c>
    </row>
    <row r="18" spans="1:16" ht="31.9" customHeight="1" x14ac:dyDescent="0.45">
      <c r="A18" s="2">
        <v>5</v>
      </c>
      <c r="B18" s="14"/>
      <c r="C18" s="15" t="s">
        <v>48</v>
      </c>
      <c r="D18" s="16"/>
      <c r="E18" s="15"/>
      <c r="F18" s="16"/>
      <c r="G18" s="15"/>
      <c r="H18" s="16"/>
      <c r="I18" s="15" t="s">
        <v>54</v>
      </c>
      <c r="J18" s="16" t="s">
        <v>55</v>
      </c>
      <c r="K18" s="15" t="s">
        <v>56</v>
      </c>
      <c r="L18" s="16"/>
      <c r="M18" s="15"/>
      <c r="N18" s="16"/>
      <c r="O18" s="1">
        <v>4</v>
      </c>
    </row>
    <row r="19" spans="1:16" ht="31.9" customHeight="1" x14ac:dyDescent="0.45">
      <c r="A19" s="2">
        <v>10</v>
      </c>
      <c r="B19" s="14"/>
      <c r="C19" s="15"/>
      <c r="D19" s="16" t="s">
        <v>49</v>
      </c>
      <c r="E19" s="15" t="s">
        <v>50</v>
      </c>
      <c r="F19" s="16"/>
      <c r="G19" s="15"/>
      <c r="H19" s="16"/>
      <c r="I19" s="15"/>
      <c r="J19" s="16"/>
      <c r="K19" s="15"/>
      <c r="L19" s="16"/>
      <c r="M19" s="15" t="s">
        <v>59</v>
      </c>
      <c r="N19" s="16"/>
      <c r="O19" s="1">
        <v>3</v>
      </c>
    </row>
    <row r="20" spans="1:16" ht="31.9" customHeight="1" x14ac:dyDescent="0.45">
      <c r="A20" s="2">
        <v>18</v>
      </c>
      <c r="B20" s="14"/>
      <c r="C20" s="15"/>
      <c r="D20" s="16" t="s">
        <v>49</v>
      </c>
      <c r="E20" s="15"/>
      <c r="F20" s="16" t="s">
        <v>51</v>
      </c>
      <c r="G20" s="15"/>
      <c r="H20" s="16" t="s">
        <v>53</v>
      </c>
      <c r="I20" s="15"/>
      <c r="J20" s="16"/>
      <c r="K20" s="15"/>
      <c r="L20" s="16" t="s">
        <v>57</v>
      </c>
      <c r="M20" s="15"/>
      <c r="N20" s="16"/>
      <c r="O20" s="1">
        <v>3.5</v>
      </c>
    </row>
    <row r="21" spans="1:16" ht="31.9" customHeight="1" x14ac:dyDescent="0.45">
      <c r="A21" s="2">
        <v>20</v>
      </c>
      <c r="B21" s="14"/>
      <c r="C21" s="15" t="s">
        <v>48</v>
      </c>
      <c r="D21" s="16"/>
      <c r="E21" s="15"/>
      <c r="F21" s="16" t="s">
        <v>51</v>
      </c>
      <c r="G21" s="15"/>
      <c r="H21" s="16"/>
      <c r="I21" s="15"/>
      <c r="J21" s="16"/>
      <c r="K21" s="15"/>
      <c r="L21" s="16" t="s">
        <v>57</v>
      </c>
      <c r="M21" s="15"/>
      <c r="N21" s="16"/>
      <c r="O21" s="1">
        <v>2.5</v>
      </c>
    </row>
    <row r="22" spans="1:16" ht="31.9" customHeight="1" x14ac:dyDescent="0.45">
      <c r="A22" s="17">
        <v>21</v>
      </c>
      <c r="B22" s="18" t="s">
        <v>47</v>
      </c>
      <c r="C22" s="18" t="s">
        <v>48</v>
      </c>
      <c r="D22" s="18" t="s">
        <v>42</v>
      </c>
      <c r="E22" s="18" t="s">
        <v>43</v>
      </c>
      <c r="F22" s="18" t="s">
        <v>41</v>
      </c>
      <c r="G22" s="18" t="s">
        <v>43</v>
      </c>
      <c r="H22" s="18" t="s">
        <v>42</v>
      </c>
      <c r="I22" s="18" t="s">
        <v>54</v>
      </c>
      <c r="J22" s="18" t="s">
        <v>41</v>
      </c>
      <c r="K22" s="18" t="s">
        <v>41</v>
      </c>
      <c r="L22" s="18" t="s">
        <v>43</v>
      </c>
      <c r="M22" s="18" t="s">
        <v>43</v>
      </c>
      <c r="N22" s="18" t="s">
        <v>61</v>
      </c>
      <c r="O22" s="19">
        <v>3.5</v>
      </c>
      <c r="P22" s="19">
        <v>1</v>
      </c>
    </row>
    <row r="23" spans="1:16" ht="31.9" customHeight="1" x14ac:dyDescent="0.45">
      <c r="A23" s="2">
        <v>26</v>
      </c>
      <c r="B23" s="14"/>
      <c r="C23" s="15"/>
      <c r="D23" s="16" t="s">
        <v>49</v>
      </c>
      <c r="E23" s="15"/>
      <c r="F23" s="16"/>
      <c r="G23" s="15" t="s">
        <v>52</v>
      </c>
      <c r="H23" s="16"/>
      <c r="I23" s="15"/>
      <c r="J23" s="16"/>
      <c r="K23" s="15" t="s">
        <v>56</v>
      </c>
      <c r="L23" s="16"/>
      <c r="M23" s="15"/>
      <c r="N23" s="16"/>
      <c r="O23" s="1">
        <v>3</v>
      </c>
    </row>
    <row r="24" spans="1:16" ht="31.9" customHeight="1" x14ac:dyDescent="0.45">
      <c r="A24" s="2">
        <v>29</v>
      </c>
      <c r="B24" s="14"/>
      <c r="C24" s="15"/>
      <c r="D24" s="16" t="s">
        <v>49</v>
      </c>
      <c r="E24" s="15"/>
      <c r="F24" s="16" t="s">
        <v>51</v>
      </c>
      <c r="G24" s="15"/>
      <c r="H24" s="16" t="s">
        <v>53</v>
      </c>
      <c r="I24" s="15"/>
      <c r="J24" s="16"/>
      <c r="K24" s="15"/>
      <c r="L24" s="16" t="s">
        <v>58</v>
      </c>
      <c r="M24" s="15"/>
      <c r="N24" s="16"/>
      <c r="O24" s="1">
        <v>4</v>
      </c>
    </row>
    <row r="25" spans="1:16" ht="31.9" customHeight="1" x14ac:dyDescent="0.45">
      <c r="A25" s="2">
        <v>31</v>
      </c>
      <c r="B25" s="14"/>
      <c r="C25" s="15"/>
      <c r="D25" s="16" t="s">
        <v>49</v>
      </c>
      <c r="E25" s="15"/>
      <c r="F25" s="16"/>
      <c r="G25" s="15" t="s">
        <v>52</v>
      </c>
      <c r="H25" s="16" t="s">
        <v>53</v>
      </c>
      <c r="I25" s="15"/>
      <c r="J25" s="16"/>
      <c r="K25" s="15"/>
      <c r="L25" s="16"/>
      <c r="M25" s="15"/>
      <c r="N25" s="16" t="s">
        <v>60</v>
      </c>
      <c r="O25" s="1">
        <v>4</v>
      </c>
    </row>
    <row r="29" spans="1:16" ht="31.9" customHeight="1" x14ac:dyDescent="0.45">
      <c r="A29" s="2" t="s">
        <v>0</v>
      </c>
      <c r="B29" s="2" t="s">
        <v>47</v>
      </c>
      <c r="C29" s="2" t="s">
        <v>48</v>
      </c>
      <c r="D29" s="2" t="s">
        <v>49</v>
      </c>
      <c r="E29" s="2" t="s">
        <v>50</v>
      </c>
      <c r="F29" s="2" t="s">
        <v>51</v>
      </c>
      <c r="G29" s="2" t="s">
        <v>52</v>
      </c>
      <c r="H29" s="2" t="s">
        <v>53</v>
      </c>
      <c r="I29" s="2" t="s">
        <v>54</v>
      </c>
      <c r="J29" s="2" t="s">
        <v>55</v>
      </c>
      <c r="K29" s="2" t="s">
        <v>56</v>
      </c>
      <c r="L29" s="2" t="s">
        <v>58</v>
      </c>
      <c r="M29" s="2" t="s">
        <v>59</v>
      </c>
      <c r="N29" s="2" t="s">
        <v>60</v>
      </c>
    </row>
    <row r="30" spans="1:16" ht="31.9" customHeight="1" x14ac:dyDescent="0.45">
      <c r="A30" s="2">
        <v>1</v>
      </c>
      <c r="B30" s="2">
        <v>0</v>
      </c>
      <c r="C30" s="2">
        <v>1</v>
      </c>
      <c r="D30" s="2">
        <v>0</v>
      </c>
      <c r="E30" s="2">
        <v>1</v>
      </c>
      <c r="F30" s="2">
        <v>1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1">
        <f>SUM(B30:N30)</f>
        <v>4</v>
      </c>
    </row>
    <row r="31" spans="1:16" ht="31.9" customHeight="1" x14ac:dyDescent="0.45">
      <c r="A31" s="12">
        <v>2</v>
      </c>
      <c r="B31" s="12">
        <v>1</v>
      </c>
      <c r="C31" s="12">
        <v>0</v>
      </c>
      <c r="D31" s="12">
        <v>1</v>
      </c>
      <c r="E31" s="12">
        <v>1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1</v>
      </c>
      <c r="N31" s="12">
        <v>0.5</v>
      </c>
      <c r="O31" s="13">
        <f t="shared" ref="O31:O39" si="13">SUM(B31:N31)</f>
        <v>4.5</v>
      </c>
    </row>
    <row r="32" spans="1:16" ht="31.9" customHeight="1" x14ac:dyDescent="0.45">
      <c r="A32" s="2">
        <v>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1</v>
      </c>
      <c r="K32" s="2">
        <v>1</v>
      </c>
      <c r="L32" s="2">
        <v>0</v>
      </c>
      <c r="M32" s="2">
        <v>0</v>
      </c>
      <c r="N32" s="2">
        <v>0</v>
      </c>
      <c r="O32" s="1">
        <f t="shared" si="13"/>
        <v>4</v>
      </c>
    </row>
    <row r="33" spans="1:16" ht="31.9" customHeight="1" x14ac:dyDescent="0.45">
      <c r="A33" s="2">
        <v>10</v>
      </c>
      <c r="B33" s="2">
        <v>0</v>
      </c>
      <c r="C33" s="2">
        <v>0</v>
      </c>
      <c r="D33" s="2">
        <v>1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  <c r="O33" s="1">
        <f t="shared" si="13"/>
        <v>3</v>
      </c>
    </row>
    <row r="34" spans="1:16" ht="31.9" customHeight="1" x14ac:dyDescent="0.45">
      <c r="A34" s="2">
        <v>18</v>
      </c>
      <c r="B34" s="2">
        <v>0</v>
      </c>
      <c r="C34" s="2">
        <v>0</v>
      </c>
      <c r="D34" s="2">
        <v>1</v>
      </c>
      <c r="E34" s="2">
        <v>0</v>
      </c>
      <c r="F34" s="2">
        <v>1</v>
      </c>
      <c r="G34" s="2">
        <v>0</v>
      </c>
      <c r="H34" s="2">
        <v>1</v>
      </c>
      <c r="I34" s="2">
        <v>0</v>
      </c>
      <c r="J34" s="2">
        <v>0</v>
      </c>
      <c r="K34" s="2">
        <v>0</v>
      </c>
      <c r="L34" s="2">
        <v>0.5</v>
      </c>
      <c r="M34" s="2">
        <v>0</v>
      </c>
      <c r="N34" s="2">
        <v>0</v>
      </c>
      <c r="O34" s="1">
        <f t="shared" si="13"/>
        <v>3.5</v>
      </c>
    </row>
    <row r="35" spans="1:16" ht="31.9" customHeight="1" x14ac:dyDescent="0.45">
      <c r="A35" s="2">
        <v>20</v>
      </c>
      <c r="B35" s="2">
        <v>0</v>
      </c>
      <c r="C35" s="2">
        <v>1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0.5</v>
      </c>
      <c r="M35" s="2">
        <v>0</v>
      </c>
      <c r="N35" s="2">
        <v>0</v>
      </c>
      <c r="O35" s="1">
        <f t="shared" si="13"/>
        <v>2.5</v>
      </c>
    </row>
    <row r="36" spans="1:16" ht="31.9" customHeight="1" x14ac:dyDescent="0.45">
      <c r="A36" s="12">
        <v>21</v>
      </c>
      <c r="B36" s="12">
        <v>1</v>
      </c>
      <c r="C36" s="12">
        <v>1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1</v>
      </c>
      <c r="J36" s="12">
        <v>0</v>
      </c>
      <c r="K36" s="12">
        <v>0</v>
      </c>
      <c r="L36" s="12">
        <v>0</v>
      </c>
      <c r="M36" s="12">
        <v>0</v>
      </c>
      <c r="N36" s="12">
        <v>0.5</v>
      </c>
      <c r="O36" s="13">
        <f t="shared" si="13"/>
        <v>3.5</v>
      </c>
    </row>
    <row r="37" spans="1:16" ht="31.9" customHeight="1" x14ac:dyDescent="0.45">
      <c r="A37" s="2">
        <v>26</v>
      </c>
      <c r="B37" s="2">
        <v>0</v>
      </c>
      <c r="C37" s="2">
        <v>0</v>
      </c>
      <c r="D37" s="2">
        <v>1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0</v>
      </c>
      <c r="N37" s="2">
        <v>0</v>
      </c>
      <c r="O37" s="1">
        <f t="shared" si="13"/>
        <v>3</v>
      </c>
    </row>
    <row r="38" spans="1:16" ht="31.9" customHeight="1" x14ac:dyDescent="0.45">
      <c r="A38" s="2">
        <v>29</v>
      </c>
      <c r="B38" s="2">
        <v>0</v>
      </c>
      <c r="C38" s="2">
        <v>0</v>
      </c>
      <c r="D38" s="2">
        <v>1</v>
      </c>
      <c r="E38" s="2">
        <v>0</v>
      </c>
      <c r="F38" s="2">
        <v>1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1</v>
      </c>
      <c r="M38" s="2">
        <v>0</v>
      </c>
      <c r="N38" s="2">
        <v>0</v>
      </c>
      <c r="O38" s="1">
        <f t="shared" si="13"/>
        <v>4</v>
      </c>
    </row>
    <row r="39" spans="1:16" ht="31.9" customHeight="1" x14ac:dyDescent="0.45">
      <c r="A39" s="2">
        <v>31</v>
      </c>
      <c r="B39" s="2">
        <v>0</v>
      </c>
      <c r="C39" s="2">
        <v>0</v>
      </c>
      <c r="D39" s="2">
        <v>1</v>
      </c>
      <c r="E39" s="2">
        <v>0</v>
      </c>
      <c r="F39" s="2">
        <v>0</v>
      </c>
      <c r="G39" s="2">
        <v>1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  <c r="O39" s="1">
        <f t="shared" si="13"/>
        <v>4</v>
      </c>
    </row>
    <row r="45" spans="1:16" ht="31.9" customHeight="1" x14ac:dyDescent="0.45">
      <c r="A45" s="21" t="s">
        <v>0</v>
      </c>
      <c r="B45" s="21" t="s">
        <v>47</v>
      </c>
      <c r="C45" s="21" t="s">
        <v>48</v>
      </c>
      <c r="D45" s="21" t="s">
        <v>49</v>
      </c>
      <c r="E45" s="21" t="s">
        <v>50</v>
      </c>
      <c r="F45" s="21" t="s">
        <v>51</v>
      </c>
      <c r="G45" s="21" t="s">
        <v>52</v>
      </c>
      <c r="H45" s="21" t="s">
        <v>53</v>
      </c>
      <c r="I45" s="21" t="s">
        <v>54</v>
      </c>
      <c r="J45" s="21" t="s">
        <v>55</v>
      </c>
      <c r="K45" s="21" t="s">
        <v>56</v>
      </c>
      <c r="L45" s="21" t="s">
        <v>58</v>
      </c>
      <c r="M45" s="21" t="s">
        <v>59</v>
      </c>
      <c r="N45" s="21" t="s">
        <v>60</v>
      </c>
    </row>
    <row r="46" spans="1:16" ht="31.9" customHeight="1" x14ac:dyDescent="0.45">
      <c r="A46" s="12">
        <v>2</v>
      </c>
      <c r="B46" s="20" t="s">
        <v>47</v>
      </c>
      <c r="C46" s="20" t="s">
        <v>42</v>
      </c>
      <c r="D46" s="20" t="s">
        <v>49</v>
      </c>
      <c r="E46" s="20" t="s">
        <v>50</v>
      </c>
      <c r="F46" s="20" t="s">
        <v>43</v>
      </c>
      <c r="G46" s="20" t="s">
        <v>41</v>
      </c>
      <c r="H46" s="20" t="s">
        <v>42</v>
      </c>
      <c r="I46" s="20" t="s">
        <v>42</v>
      </c>
      <c r="J46" s="20" t="s">
        <v>43</v>
      </c>
      <c r="K46" s="20" t="s">
        <v>43</v>
      </c>
      <c r="L46" s="20" t="s">
        <v>41</v>
      </c>
      <c r="M46" s="20" t="s">
        <v>59</v>
      </c>
      <c r="N46" s="20" t="s">
        <v>61</v>
      </c>
      <c r="O46" s="13">
        <v>4.5</v>
      </c>
      <c r="P46" s="13">
        <v>0.5</v>
      </c>
    </row>
    <row r="47" spans="1:16" ht="31.9" customHeight="1" x14ac:dyDescent="0.45">
      <c r="A47" s="12">
        <v>21</v>
      </c>
      <c r="B47" s="20" t="s">
        <v>47</v>
      </c>
      <c r="C47" s="20" t="s">
        <v>48</v>
      </c>
      <c r="D47" s="20" t="s">
        <v>42</v>
      </c>
      <c r="E47" s="20" t="s">
        <v>43</v>
      </c>
      <c r="F47" s="20" t="s">
        <v>41</v>
      </c>
      <c r="G47" s="20" t="s">
        <v>43</v>
      </c>
      <c r="H47" s="20" t="s">
        <v>42</v>
      </c>
      <c r="I47" s="20" t="s">
        <v>54</v>
      </c>
      <c r="J47" s="20" t="s">
        <v>41</v>
      </c>
      <c r="K47" s="20" t="s">
        <v>41</v>
      </c>
      <c r="L47" s="20" t="s">
        <v>43</v>
      </c>
      <c r="M47" s="20" t="s">
        <v>43</v>
      </c>
      <c r="N47" s="20" t="s">
        <v>61</v>
      </c>
      <c r="O47" s="13">
        <v>3.5</v>
      </c>
      <c r="P47" s="13">
        <v>1</v>
      </c>
    </row>
  </sheetData>
  <sortState xmlns:xlrd2="http://schemas.microsoft.com/office/spreadsheetml/2017/richdata2" ref="A2:BO11">
    <sortCondition ref="BO1:BO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all_centroidi_annotated_31_2020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Pavirani</cp:lastModifiedBy>
  <dcterms:created xsi:type="dcterms:W3CDTF">2025-11-17T13:22:57Z</dcterms:created>
  <dcterms:modified xsi:type="dcterms:W3CDTF">2025-12-01T13:41:08Z</dcterms:modified>
</cp:coreProperties>
</file>