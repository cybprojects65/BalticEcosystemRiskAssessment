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\Documents\Risk Assessment Mar Baltico - NOVEMBRE\Risk assessment_novembre\Baltico_Multi K-means\Five species\output_sd\"/>
    </mc:Choice>
  </mc:AlternateContent>
  <xr:revisionPtr revIDLastSave="0" documentId="13_ncr:1_{E1A06663-802B-4EB8-B96C-B3A428E57B6C}" xr6:coauthVersionLast="47" xr6:coauthVersionMax="47" xr10:uidLastSave="{00000000-0000-0000-0000-000000000000}"/>
  <bookViews>
    <workbookView xWindow="-38450" yWindow="7930" windowWidth="38230" windowHeight="11270" xr2:uid="{00000000-000D-0000-FFFF-FFFF00000000}"/>
  </bookViews>
  <sheets>
    <sheet name="all_centroidi_annotated_36_2020" sheetId="1" r:id="rId1"/>
  </sheets>
  <definedNames>
    <definedName name="_xlnm._FilterDatabase" localSheetId="0" hidden="1">all_centroidi_annotated_36_2020!$BO$1:$BO$13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0" i="1" l="1"/>
  <c r="O41" i="1"/>
  <c r="O42" i="1"/>
  <c r="O43" i="1"/>
  <c r="O44" i="1"/>
  <c r="O45" i="1"/>
  <c r="O46" i="1"/>
  <c r="O47" i="1"/>
  <c r="O48" i="1"/>
  <c r="O49" i="1"/>
  <c r="O50" i="1"/>
  <c r="O39" i="1"/>
  <c r="D2" i="1"/>
  <c r="B14" i="1"/>
  <c r="C14" i="1" l="1"/>
  <c r="D14" i="1" s="1"/>
  <c r="BK14" i="1"/>
  <c r="BF14" i="1"/>
  <c r="BA14" i="1"/>
  <c r="AV14" i="1"/>
  <c r="AQ14" i="1"/>
  <c r="AL14" i="1"/>
  <c r="AG14" i="1"/>
  <c r="AB14" i="1"/>
  <c r="AC10" i="1" s="1"/>
  <c r="W14" i="1"/>
  <c r="X4" i="1" s="1"/>
  <c r="R14" i="1"/>
  <c r="M14" i="1"/>
  <c r="BJ14" i="1"/>
  <c r="BE14" i="1"/>
  <c r="AZ14" i="1"/>
  <c r="AU14" i="1"/>
  <c r="AP14" i="1"/>
  <c r="AK14" i="1"/>
  <c r="AF14" i="1"/>
  <c r="AA14" i="1"/>
  <c r="V14" i="1"/>
  <c r="Q14" i="1"/>
  <c r="L14" i="1"/>
  <c r="H14" i="1"/>
  <c r="G14" i="1"/>
  <c r="AR4" i="1" l="1"/>
  <c r="I4" i="1"/>
  <c r="D15" i="1"/>
  <c r="AW4" i="1"/>
  <c r="BB4" i="1"/>
  <c r="AM4" i="1"/>
  <c r="S8" i="1"/>
  <c r="AC11" i="1"/>
  <c r="BL4" i="1"/>
  <c r="X8" i="1"/>
  <c r="BL8" i="1"/>
  <c r="AC2" i="1"/>
  <c r="N3" i="1"/>
  <c r="S12" i="1"/>
  <c r="S11" i="1"/>
  <c r="AC12" i="1"/>
  <c r="S10" i="1"/>
  <c r="AC7" i="1"/>
  <c r="AH3" i="1"/>
  <c r="S9" i="1"/>
  <c r="AC6" i="1"/>
  <c r="AC5" i="1"/>
  <c r="X10" i="1"/>
  <c r="AW5" i="1"/>
  <c r="X7" i="1"/>
  <c r="N9" i="1"/>
  <c r="X6" i="1"/>
  <c r="N14" i="1"/>
  <c r="N6" i="1"/>
  <c r="X5" i="1"/>
  <c r="S13" i="1"/>
  <c r="AC8" i="1"/>
  <c r="AR5" i="1"/>
  <c r="AC14" i="1"/>
  <c r="X9" i="1"/>
  <c r="BL9" i="1"/>
  <c r="D8" i="1"/>
  <c r="BG4" i="1"/>
  <c r="BG7" i="1"/>
  <c r="AM5" i="1"/>
  <c r="BG5" i="1"/>
  <c r="BB8" i="1"/>
  <c r="BL10" i="1"/>
  <c r="S7" i="1"/>
  <c r="AW6" i="1"/>
  <c r="BL6" i="1"/>
  <c r="N8" i="1"/>
  <c r="S6" i="1"/>
  <c r="AC13" i="1"/>
  <c r="BL5" i="1"/>
  <c r="N10" i="1"/>
  <c r="S4" i="1"/>
  <c r="N7" i="1"/>
  <c r="S5" i="1"/>
  <c r="BB7" i="1"/>
  <c r="BG6" i="1"/>
  <c r="AR6" i="1"/>
  <c r="AW7" i="1"/>
  <c r="BG9" i="1"/>
  <c r="BL7" i="1"/>
  <c r="X13" i="1"/>
  <c r="BB6" i="1"/>
  <c r="X14" i="1"/>
  <c r="N5" i="1"/>
  <c r="X12" i="1"/>
  <c r="BB5" i="1"/>
  <c r="AC3" i="1"/>
  <c r="N4" i="1"/>
  <c r="X11" i="1"/>
  <c r="AC9" i="1"/>
  <c r="BG8" i="1"/>
  <c r="AM3" i="1"/>
  <c r="AH13" i="1"/>
  <c r="AM14" i="1"/>
  <c r="AR3" i="1"/>
  <c r="AR2" i="1"/>
  <c r="BB14" i="1"/>
  <c r="BG3" i="1"/>
  <c r="AR11" i="1"/>
  <c r="AW12" i="1"/>
  <c r="BG2" i="1"/>
  <c r="BL3" i="1"/>
  <c r="N2" i="1"/>
  <c r="BL13" i="1"/>
  <c r="AM13" i="1"/>
  <c r="AH2" i="1"/>
  <c r="AR14" i="1"/>
  <c r="AR13" i="1"/>
  <c r="AW14" i="1"/>
  <c r="AM11" i="1"/>
  <c r="AW13" i="1"/>
  <c r="AM10" i="1"/>
  <c r="BB13" i="1"/>
  <c r="AH8" i="1"/>
  <c r="AR10" i="1"/>
  <c r="BB12" i="1"/>
  <c r="BG13" i="1"/>
  <c r="BL14" i="1"/>
  <c r="N13" i="1"/>
  <c r="AH7" i="1"/>
  <c r="AR9" i="1"/>
  <c r="AW10" i="1"/>
  <c r="BG12" i="1"/>
  <c r="N12" i="1"/>
  <c r="S3" i="1"/>
  <c r="AM7" i="1"/>
  <c r="BL12" i="1"/>
  <c r="N11" i="1"/>
  <c r="S2" i="1"/>
  <c r="S14" i="1"/>
  <c r="X3" i="1"/>
  <c r="AC4" i="1"/>
  <c r="AH5" i="1"/>
  <c r="AM6" i="1"/>
  <c r="AR7" i="1"/>
  <c r="AW8" i="1"/>
  <c r="BB9" i="1"/>
  <c r="BG10" i="1"/>
  <c r="BL11" i="1"/>
  <c r="AH14" i="1"/>
  <c r="AM2" i="1"/>
  <c r="AH12" i="1"/>
  <c r="AW3" i="1"/>
  <c r="AH11" i="1"/>
  <c r="AM12" i="1"/>
  <c r="AW2" i="1"/>
  <c r="BB3" i="1"/>
  <c r="AH10" i="1"/>
  <c r="AR12" i="1"/>
  <c r="BB2" i="1"/>
  <c r="AH9" i="1"/>
  <c r="BG14" i="1"/>
  <c r="AM9" i="1"/>
  <c r="AW11" i="1"/>
  <c r="BL2" i="1"/>
  <c r="I14" i="1"/>
  <c r="AM8" i="1"/>
  <c r="BB11" i="1"/>
  <c r="AH6" i="1"/>
  <c r="AR8" i="1"/>
  <c r="AW9" i="1"/>
  <c r="BB10" i="1"/>
  <c r="BG11" i="1"/>
  <c r="X2" i="1"/>
  <c r="AH4" i="1"/>
  <c r="I8" i="1"/>
  <c r="I10" i="1"/>
  <c r="I9" i="1"/>
  <c r="I11" i="1"/>
  <c r="I7" i="1"/>
  <c r="I2" i="1"/>
  <c r="I13" i="1"/>
  <c r="I12" i="1"/>
  <c r="I6" i="1"/>
  <c r="I5" i="1"/>
  <c r="D7" i="1"/>
  <c r="D6" i="1"/>
  <c r="I3" i="1"/>
  <c r="D5" i="1"/>
  <c r="D4" i="1"/>
  <c r="D3" i="1"/>
  <c r="D13" i="1"/>
  <c r="D12" i="1"/>
  <c r="D11" i="1"/>
  <c r="D10" i="1"/>
  <c r="D9" i="1"/>
</calcChain>
</file>

<file path=xl/sharedStrings.xml><?xml version="1.0" encoding="utf-8"?>
<sst xmlns="http://schemas.openxmlformats.org/spreadsheetml/2006/main" count="445" uniqueCount="65">
  <si>
    <t>centroid_id</t>
  </si>
  <si>
    <t>five_spp_cpue_2020_std</t>
  </si>
  <si>
    <t>five_spp_cpue_2020_std_sd</t>
  </si>
  <si>
    <t>five_spp_cpue_2020_std_label</t>
  </si>
  <si>
    <t>bathymetry_2020_std</t>
  </si>
  <si>
    <t>bathymetry_2020_std_sd</t>
  </si>
  <si>
    <t>bathymetry_2020_std_label</t>
  </si>
  <si>
    <t>bottom_temperature_2020_std</t>
  </si>
  <si>
    <t>bottom_temperature_2020_std_sd</t>
  </si>
  <si>
    <t>bottom_temperature_2020_std_label</t>
  </si>
  <si>
    <t>surface_net_primary_production_2020_std</t>
  </si>
  <si>
    <t>surface_net_primary_production_2020_std_sd</t>
  </si>
  <si>
    <t>surface_net_primary_production_2020_std_label</t>
  </si>
  <si>
    <t>fishing_activity_hours_2020_std</t>
  </si>
  <si>
    <t>fishing_activity_hours_2020_std_sd</t>
  </si>
  <si>
    <t>fishing_activity_hours_2020_std_label</t>
  </si>
  <si>
    <t>ship_density_route_2020_std</t>
  </si>
  <si>
    <t>ship_density_route_2020_std_sd</t>
  </si>
  <si>
    <t>ship_density_route_2020_std_label</t>
  </si>
  <si>
    <t>bottom_salinity_2020_std</t>
  </si>
  <si>
    <t>bottom_salinity_2020_std_sd</t>
  </si>
  <si>
    <t>bottom_salinity_2020_std_label</t>
  </si>
  <si>
    <t>bottom_dissolved_oxygen_2020_inv_std</t>
  </si>
  <si>
    <t>bottom_dissolved_oxygen_2020_inv_std_sd</t>
  </si>
  <si>
    <t>bottom_dissolved_oxygen_2020_inv_std_label</t>
  </si>
  <si>
    <t>dumping_site_2020</t>
  </si>
  <si>
    <t>dumping_site_2020_sd</t>
  </si>
  <si>
    <t>dumping_site_2020_label</t>
  </si>
  <si>
    <t>military_area_2020</t>
  </si>
  <si>
    <t>military_area_2020_sd</t>
  </si>
  <si>
    <t>military_area_2020_label</t>
  </si>
  <si>
    <t>wind_farm_2020</t>
  </si>
  <si>
    <t>wind_farm_2020_sd</t>
  </si>
  <si>
    <t>wind_farm_2020_label</t>
  </si>
  <si>
    <t>bedrock_seabed_2020</t>
  </si>
  <si>
    <t>bedrock_seabed_2020_sd</t>
  </si>
  <si>
    <t>bedrock_seabed_2020_label</t>
  </si>
  <si>
    <t>hard_bottom_seabed_2020</t>
  </si>
  <si>
    <t>hard_bottom_seabed_2020_sd</t>
  </si>
  <si>
    <t>hard_bottom_seabed_2020_label</t>
  </si>
  <si>
    <t>attention_level</t>
  </si>
  <si>
    <t>H</t>
  </si>
  <si>
    <t>L</t>
  </si>
  <si>
    <t>M</t>
  </si>
  <si>
    <t>high attention</t>
  </si>
  <si>
    <t>MAIUSCOLO/minuscolo/0</t>
  </si>
  <si>
    <t>NPP</t>
  </si>
  <si>
    <t>BIODIVERSITY</t>
  </si>
  <si>
    <t>biodiversity</t>
  </si>
  <si>
    <t>BATHYMETRY</t>
  </si>
  <si>
    <t>TEMPERATURE</t>
  </si>
  <si>
    <t>temperature</t>
  </si>
  <si>
    <t>FISHING</t>
  </si>
  <si>
    <t>SHIP</t>
  </si>
  <si>
    <t>SALINITY</t>
  </si>
  <si>
    <t>OXYGEN</t>
  </si>
  <si>
    <t>DUMPING_SITE</t>
  </si>
  <si>
    <t>dumping_site</t>
  </si>
  <si>
    <t>MILITARY</t>
  </si>
  <si>
    <t>wind_farm</t>
  </si>
  <si>
    <t>WIND_FARM</t>
  </si>
  <si>
    <t>BEDROCK</t>
  </si>
  <si>
    <t>HARDROCK</t>
  </si>
  <si>
    <t>hardrock</t>
  </si>
  <si>
    <t>IF Centroid &gt;= Centroid_mean+ (SD_mean/2) --&gt; 1 o 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</si>
</sst>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19" fillId="0" borderId="10" xfId="0" applyFont="1" applyBorder="1" applyAlignment="1">
      <alignment horizontal="center" vertical="center"/>
    </xf>
    <xf numFmtId="0" fontId="19" fillId="34" borderId="10" xfId="0" applyFont="1" applyFill="1" applyBorder="1" applyAlignment="1">
      <alignment horizontal="center" vertical="center"/>
    </xf>
    <xf numFmtId="0" fontId="19" fillId="35" borderId="10" xfId="0" applyFont="1" applyFill="1" applyBorder="1" applyAlignment="1">
      <alignment horizontal="center" vertical="center"/>
    </xf>
    <xf numFmtId="0" fontId="19" fillId="36" borderId="10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36" borderId="10" xfId="0" applyFont="1" applyFill="1" applyBorder="1" applyAlignment="1">
      <alignment horizontal="center" vertical="center"/>
    </xf>
    <xf numFmtId="0" fontId="20" fillId="35" borderId="10" xfId="0" applyFont="1" applyFill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19" fillId="38" borderId="10" xfId="0" applyFont="1" applyFill="1" applyBorder="1" applyAlignment="1">
      <alignment horizontal="center" vertical="center"/>
    </xf>
    <xf numFmtId="0" fontId="19" fillId="37" borderId="10" xfId="0" applyFont="1" applyFill="1" applyBorder="1" applyAlignment="1">
      <alignment horizontal="center" vertical="center"/>
    </xf>
    <xf numFmtId="0" fontId="20" fillId="37" borderId="10" xfId="0" applyFont="1" applyFill="1" applyBorder="1" applyAlignment="1">
      <alignment horizontal="center" vertical="center"/>
    </xf>
    <xf numFmtId="0" fontId="20" fillId="39" borderId="0" xfId="0" applyFont="1" applyFill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9" fillId="40" borderId="10" xfId="0" applyFont="1" applyFill="1" applyBorder="1" applyAlignment="1">
      <alignment horizontal="center" vertical="center"/>
    </xf>
    <xf numFmtId="0" fontId="19" fillId="0" borderId="10" xfId="0" applyFont="1" applyFill="1" applyBorder="1" applyAlignment="1">
      <alignment horizontal="center" vertical="center"/>
    </xf>
    <xf numFmtId="0" fontId="20" fillId="0" borderId="10" xfId="0" applyFont="1" applyFill="1" applyBorder="1" applyAlignment="1">
      <alignment horizontal="center" vertical="center"/>
    </xf>
    <xf numFmtId="0" fontId="19" fillId="0" borderId="0" xfId="0" applyFont="1" applyFill="1" applyAlignment="1">
      <alignment horizontal="center" vertical="center"/>
    </xf>
    <xf numFmtId="0" fontId="21" fillId="37" borderId="10" xfId="0" applyFont="1" applyFill="1" applyBorder="1" applyAlignment="1">
      <alignment horizontal="center" vertical="center"/>
    </xf>
    <xf numFmtId="0" fontId="21" fillId="39" borderId="0" xfId="0" applyFont="1" applyFill="1" applyAlignment="1">
      <alignment horizontal="center" vertical="center"/>
    </xf>
    <xf numFmtId="0" fontId="21" fillId="0" borderId="0" xfId="0" applyFont="1" applyAlignment="1">
      <alignment horizontal="center" vertical="center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59"/>
  <sheetViews>
    <sheetView tabSelected="1" topLeftCell="A51" zoomScale="55" zoomScaleNormal="55" workbookViewId="0">
      <selection activeCell="L61" sqref="L61"/>
    </sheetView>
  </sheetViews>
  <sheetFormatPr defaultColWidth="12.53125" defaultRowHeight="23.25" x14ac:dyDescent="0.45"/>
  <cols>
    <col min="1" max="1" width="22" style="5" customWidth="1"/>
    <col min="2" max="17" width="34.46484375" style="5" customWidth="1"/>
    <col min="18" max="16384" width="12.53125" style="5"/>
  </cols>
  <sheetData>
    <row r="1" spans="1:67" ht="37.25" customHeight="1" x14ac:dyDescent="0.45">
      <c r="A1" s="1" t="s">
        <v>0</v>
      </c>
      <c r="B1" s="2" t="s">
        <v>1</v>
      </c>
      <c r="C1" s="2" t="s">
        <v>2</v>
      </c>
      <c r="D1" s="2" t="s">
        <v>64</v>
      </c>
      <c r="E1" s="2" t="s">
        <v>45</v>
      </c>
      <c r="F1" s="2" t="s">
        <v>3</v>
      </c>
      <c r="G1" s="3" t="s">
        <v>4</v>
      </c>
      <c r="H1" s="3" t="s">
        <v>5</v>
      </c>
      <c r="I1" s="3" t="s">
        <v>64</v>
      </c>
      <c r="J1" s="3" t="s">
        <v>45</v>
      </c>
      <c r="K1" s="3" t="s">
        <v>6</v>
      </c>
      <c r="L1" s="4" t="s">
        <v>7</v>
      </c>
      <c r="M1" s="4" t="s">
        <v>8</v>
      </c>
      <c r="N1" s="4" t="s">
        <v>64</v>
      </c>
      <c r="O1" s="4" t="s">
        <v>45</v>
      </c>
      <c r="P1" s="4" t="s">
        <v>9</v>
      </c>
      <c r="Q1" s="3" t="s">
        <v>10</v>
      </c>
      <c r="R1" s="3" t="s">
        <v>11</v>
      </c>
      <c r="S1" s="3" t="s">
        <v>64</v>
      </c>
      <c r="T1" s="3" t="s">
        <v>45</v>
      </c>
      <c r="U1" s="3" t="s">
        <v>12</v>
      </c>
      <c r="V1" s="4" t="s">
        <v>13</v>
      </c>
      <c r="W1" s="4" t="s">
        <v>14</v>
      </c>
      <c r="X1" s="4" t="s">
        <v>64</v>
      </c>
      <c r="Y1" s="4" t="s">
        <v>45</v>
      </c>
      <c r="Z1" s="4" t="s">
        <v>15</v>
      </c>
      <c r="AA1" s="3" t="s">
        <v>16</v>
      </c>
      <c r="AB1" s="3" t="s">
        <v>17</v>
      </c>
      <c r="AC1" s="3" t="s">
        <v>64</v>
      </c>
      <c r="AD1" s="3" t="s">
        <v>45</v>
      </c>
      <c r="AE1" s="3" t="s">
        <v>18</v>
      </c>
      <c r="AF1" s="4" t="s">
        <v>19</v>
      </c>
      <c r="AG1" s="4" t="s">
        <v>20</v>
      </c>
      <c r="AH1" s="4" t="s">
        <v>64</v>
      </c>
      <c r="AI1" s="4" t="s">
        <v>45</v>
      </c>
      <c r="AJ1" s="4" t="s">
        <v>21</v>
      </c>
      <c r="AK1" s="3" t="s">
        <v>22</v>
      </c>
      <c r="AL1" s="3" t="s">
        <v>23</v>
      </c>
      <c r="AM1" s="3" t="s">
        <v>64</v>
      </c>
      <c r="AN1" s="3" t="s">
        <v>45</v>
      </c>
      <c r="AO1" s="3" t="s">
        <v>24</v>
      </c>
      <c r="AP1" s="4" t="s">
        <v>25</v>
      </c>
      <c r="AQ1" s="4" t="s">
        <v>26</v>
      </c>
      <c r="AR1" s="4" t="s">
        <v>64</v>
      </c>
      <c r="AS1" s="4" t="s">
        <v>45</v>
      </c>
      <c r="AT1" s="4" t="s">
        <v>27</v>
      </c>
      <c r="AU1" s="3" t="s">
        <v>28</v>
      </c>
      <c r="AV1" s="3" t="s">
        <v>29</v>
      </c>
      <c r="AW1" s="3" t="s">
        <v>64</v>
      </c>
      <c r="AX1" s="3" t="s">
        <v>45</v>
      </c>
      <c r="AY1" s="3" t="s">
        <v>30</v>
      </c>
      <c r="AZ1" s="4" t="s">
        <v>31</v>
      </c>
      <c r="BA1" s="4" t="s">
        <v>32</v>
      </c>
      <c r="BB1" s="4" t="s">
        <v>64</v>
      </c>
      <c r="BC1" s="4" t="s">
        <v>45</v>
      </c>
      <c r="BD1" s="4" t="s">
        <v>33</v>
      </c>
      <c r="BE1" s="3" t="s">
        <v>34</v>
      </c>
      <c r="BF1" s="3" t="s">
        <v>35</v>
      </c>
      <c r="BG1" s="3" t="s">
        <v>64</v>
      </c>
      <c r="BH1" s="3" t="s">
        <v>45</v>
      </c>
      <c r="BI1" s="3" t="s">
        <v>36</v>
      </c>
      <c r="BJ1" s="4" t="s">
        <v>37</v>
      </c>
      <c r="BK1" s="4" t="s">
        <v>38</v>
      </c>
      <c r="BL1" s="4" t="s">
        <v>64</v>
      </c>
      <c r="BM1" s="4" t="s">
        <v>45</v>
      </c>
      <c r="BN1" s="4" t="s">
        <v>39</v>
      </c>
      <c r="BO1" s="1" t="s">
        <v>40</v>
      </c>
    </row>
    <row r="2" spans="1:67" s="17" customFormat="1" ht="37.25" customHeight="1" x14ac:dyDescent="0.45">
      <c r="A2" s="15">
        <v>2</v>
      </c>
      <c r="B2" s="15">
        <v>2.6448739665988299</v>
      </c>
      <c r="C2" s="15">
        <v>0.83528677817442198</v>
      </c>
      <c r="D2" s="15">
        <f>IF(B2 &gt; $B$14 + $C$14, 1, IF(B2 &gt;= $B$14 + $C$14/2, 0.5, 0))</f>
        <v>1</v>
      </c>
      <c r="E2" s="16" t="s">
        <v>47</v>
      </c>
      <c r="F2" s="15" t="s">
        <v>41</v>
      </c>
      <c r="G2" s="15">
        <v>-1.0005422939633799</v>
      </c>
      <c r="H2" s="15">
        <v>0.28339559859381103</v>
      </c>
      <c r="I2" s="15">
        <f>IF(G2 &gt; $G$14 + $H$14, 1, IF(G2 &gt;= $G$14 + $H$14/2, 0.5, 0))</f>
        <v>0</v>
      </c>
      <c r="J2" s="15"/>
      <c r="K2" s="15" t="s">
        <v>42</v>
      </c>
      <c r="L2" s="15">
        <v>1.02910298654124</v>
      </c>
      <c r="M2" s="15">
        <v>0.494564438964056</v>
      </c>
      <c r="N2" s="15">
        <f>IF(L2 &gt; $L$14 + $M$14, 1, IF(L2 &gt;= $L$14 + $M$14/2, 0.5, 0))</f>
        <v>1</v>
      </c>
      <c r="O2" s="16" t="s">
        <v>50</v>
      </c>
      <c r="P2" s="15" t="s">
        <v>41</v>
      </c>
      <c r="Q2" s="15">
        <v>0.64393519725295001</v>
      </c>
      <c r="R2" s="15">
        <v>0.78588566471157095</v>
      </c>
      <c r="S2" s="15">
        <f>IF(Q2 &gt; $Q$14 + $R$14, 1, IF(Q2 &gt;= $Q$14 + $R$14/2, 0.5, 0))</f>
        <v>1</v>
      </c>
      <c r="T2" s="16" t="s">
        <v>46</v>
      </c>
      <c r="U2" s="15" t="s">
        <v>41</v>
      </c>
      <c r="V2" s="15">
        <v>-0.21291421597663601</v>
      </c>
      <c r="W2" s="15">
        <v>0.44704668211748699</v>
      </c>
      <c r="X2" s="15">
        <f>IF(V2 &gt; $V$14 + $W$14, 1, IF(V2 &gt;= $V$14 + $W$14/2, 0.5, 0))</f>
        <v>0</v>
      </c>
      <c r="Y2" s="16"/>
      <c r="Z2" s="15" t="s">
        <v>43</v>
      </c>
      <c r="AA2" s="15">
        <v>-9.1998912279211406E-2</v>
      </c>
      <c r="AB2" s="15">
        <v>0.79019180124329202</v>
      </c>
      <c r="AC2" s="15">
        <f>IF(AA2 &gt; $AA$14 + $AB$14, 1, IF(AA2 &gt;= $AA$14 + $AB$14/2, 0.5, 0))</f>
        <v>0</v>
      </c>
      <c r="AD2" s="16"/>
      <c r="AE2" s="15" t="s">
        <v>41</v>
      </c>
      <c r="AF2" s="15">
        <v>0.122492186174327</v>
      </c>
      <c r="AG2" s="15">
        <v>1.02830894539366</v>
      </c>
      <c r="AH2" s="15">
        <f>IF(AF2 &gt; $AF$14 + $AG$14, 1, IF(AF2 &gt;= $AF$14 + $AG$14/2, 0.5, 0))</f>
        <v>0</v>
      </c>
      <c r="AI2" s="16"/>
      <c r="AJ2" s="15" t="s">
        <v>43</v>
      </c>
      <c r="AK2" s="15">
        <v>-0.57792878942172299</v>
      </c>
      <c r="AL2" s="15">
        <v>0.29233169874417703</v>
      </c>
      <c r="AM2" s="15">
        <f>IF(AK2 &gt; $AK$14 + $AL$14, 1, IF(AK2 &gt;= $AK$14 + $AL$14/2, 0.5, 0))</f>
        <v>0</v>
      </c>
      <c r="AN2" s="16"/>
      <c r="AO2" s="15" t="s">
        <v>42</v>
      </c>
      <c r="AP2" s="15">
        <v>0</v>
      </c>
      <c r="AQ2" s="15">
        <v>0</v>
      </c>
      <c r="AR2" s="15">
        <f>IF(AP2 &gt; $AP$14 + $AQ$14, 1, IF(AP2 &gt;= $AP$14 + $AQ$14/2, 0.5, 0))</f>
        <v>0</v>
      </c>
      <c r="AS2" s="16"/>
      <c r="AT2" s="15" t="s">
        <v>43</v>
      </c>
      <c r="AU2" s="15">
        <v>0</v>
      </c>
      <c r="AV2" s="15">
        <v>0</v>
      </c>
      <c r="AW2" s="15">
        <f>IF(AU2 &gt; $AU$14 + $AV$14, 1, IF(AU2 &gt;= $AU$14 + $AV$14/2, 0.5, 0))</f>
        <v>0</v>
      </c>
      <c r="AX2" s="16"/>
      <c r="AY2" s="15" t="s">
        <v>43</v>
      </c>
      <c r="AZ2" s="15">
        <v>0</v>
      </c>
      <c r="BA2" s="15">
        <v>0</v>
      </c>
      <c r="BB2" s="15">
        <f>IF(AZ2 &gt; $AZ$14 + $BA$14, 1, IF(AZ2 &gt;= $AZ$14 + $BA$14/2, 0.5, 0))</f>
        <v>0</v>
      </c>
      <c r="BC2" s="16"/>
      <c r="BD2" s="15" t="s">
        <v>43</v>
      </c>
      <c r="BE2" s="15">
        <v>5.8823529411764698E-2</v>
      </c>
      <c r="BF2" s="15">
        <v>0.242535625036333</v>
      </c>
      <c r="BG2" s="15">
        <f>IF(BE2 &gt; $BE$14 + $BF$14, 1, IF(BE2 &gt;= $BE$14 + $BF$14/2, 0.5, 0))</f>
        <v>1</v>
      </c>
      <c r="BH2" s="16" t="s">
        <v>61</v>
      </c>
      <c r="BI2" s="15" t="s">
        <v>41</v>
      </c>
      <c r="BJ2" s="15">
        <v>5.8823529411764698E-2</v>
      </c>
      <c r="BK2" s="15">
        <v>0.242535625036333</v>
      </c>
      <c r="BL2" s="15">
        <f>IF(BJ2 &gt; $BJ$14 + $BK$14, 1, IF(BJ2 &gt;= $BJ$14 + $BK$14/2, 0.5, 0))</f>
        <v>0</v>
      </c>
      <c r="BM2" s="16"/>
      <c r="BN2" s="15" t="s">
        <v>41</v>
      </c>
      <c r="BO2" s="15" t="s">
        <v>44</v>
      </c>
    </row>
    <row r="3" spans="1:67" s="17" customFormat="1" ht="37.25" customHeight="1" x14ac:dyDescent="0.45">
      <c r="A3" s="15">
        <v>5</v>
      </c>
      <c r="B3" s="15">
        <v>0.57219092930117099</v>
      </c>
      <c r="C3" s="15">
        <v>0.64449570798491695</v>
      </c>
      <c r="D3" s="15">
        <f t="shared" ref="D3:D13" si="0">IF(B3 &gt; $B$14 + $C$14, 1, IF(B3 &gt;= $B$14 + $C$14/2, 0.5, 0))</f>
        <v>1</v>
      </c>
      <c r="E3" s="16" t="s">
        <v>47</v>
      </c>
      <c r="F3" s="15" t="s">
        <v>41</v>
      </c>
      <c r="G3" s="15">
        <v>1.2337887595079899</v>
      </c>
      <c r="H3" s="15">
        <v>0.325114528181766</v>
      </c>
      <c r="I3" s="15">
        <f t="shared" ref="I3:I13" si="1">IF(G3 &gt; $G$14 + $H$14, 1, IF(G3 &gt;= $G$14 + $H$14/2, 0.5, 0))</f>
        <v>1</v>
      </c>
      <c r="J3" s="16" t="s">
        <v>49</v>
      </c>
      <c r="K3" s="15" t="s">
        <v>41</v>
      </c>
      <c r="L3" s="15">
        <v>-0.20042030248298101</v>
      </c>
      <c r="M3" s="15">
        <v>0.25026110684028602</v>
      </c>
      <c r="N3" s="15">
        <f t="shared" ref="N3:N13" si="2">IF(L3 &gt; $L$14 + $M$14, 1, IF(L3 &gt;= $L$14 + $M$14/2, 0.5, 0))</f>
        <v>0</v>
      </c>
      <c r="O3" s="16"/>
      <c r="P3" s="15" t="s">
        <v>42</v>
      </c>
      <c r="Q3" s="15">
        <v>-0.26104166382027899</v>
      </c>
      <c r="R3" s="15">
        <v>6.0248171996385103E-2</v>
      </c>
      <c r="S3" s="15">
        <f t="shared" ref="S3:S13" si="3">IF(Q3 &gt; $Q$14 + $R$14, 1, IF(Q3 &gt;= $Q$14 + $R$14/2, 0.5, 0))</f>
        <v>0</v>
      </c>
      <c r="T3" s="16"/>
      <c r="U3" s="15" t="s">
        <v>42</v>
      </c>
      <c r="V3" s="15">
        <v>0.19211908108165501</v>
      </c>
      <c r="W3" s="15">
        <v>0.45155302658959001</v>
      </c>
      <c r="X3" s="15">
        <f t="shared" ref="X3:X13" si="4">IF(V3 &gt; $V$14 + $W$14, 1, IF(V3 &gt;= $V$14 + $W$14/2, 0.5, 0))</f>
        <v>0</v>
      </c>
      <c r="Y3" s="16"/>
      <c r="Z3" s="15" t="s">
        <v>41</v>
      </c>
      <c r="AA3" s="15">
        <v>-0.17607410344595001</v>
      </c>
      <c r="AB3" s="15">
        <v>0.371167999876934</v>
      </c>
      <c r="AC3" s="15">
        <f t="shared" ref="AC3:AC13" si="5">IF(AA3 &gt; $AA$14 + $AB$14, 1, IF(AA3 &gt;= $AA$14 + $AB$14/2, 0.5, 0))</f>
        <v>0</v>
      </c>
      <c r="AD3" s="16"/>
      <c r="AE3" s="15" t="s">
        <v>43</v>
      </c>
      <c r="AF3" s="15">
        <v>0.12759013589216001</v>
      </c>
      <c r="AG3" s="15">
        <v>0.15526343459052699</v>
      </c>
      <c r="AH3" s="15">
        <f t="shared" ref="AH3:AH13" si="6">IF(AF3 &gt; $AF$14 + $AG$14, 1, IF(AF3 &gt;= $AF$14 + $AG$14/2, 0.5, 0))</f>
        <v>0</v>
      </c>
      <c r="AI3" s="16"/>
      <c r="AJ3" s="15" t="s">
        <v>43</v>
      </c>
      <c r="AK3" s="15">
        <v>1.1063003215124201</v>
      </c>
      <c r="AL3" s="15">
        <v>0.44222271050891099</v>
      </c>
      <c r="AM3" s="15">
        <f t="shared" ref="AM3:AM13" si="7">IF(AK3 &gt; $AK$14 + $AL$14, 1, IF(AK3 &gt;= $AK$14 + $AL$14/2, 0.5, 0))</f>
        <v>1</v>
      </c>
      <c r="AN3" s="16" t="s">
        <v>55</v>
      </c>
      <c r="AO3" s="15" t="s">
        <v>41</v>
      </c>
      <c r="AP3" s="15">
        <v>0.88118811881188097</v>
      </c>
      <c r="AQ3" s="15">
        <v>0.32518083316429602</v>
      </c>
      <c r="AR3" s="15">
        <f t="shared" ref="AR3:AR13" si="8">IF(AP3 &gt; $AP$14 + $AQ$14, 1, IF(AP3 &gt;= $AP$14 + $AQ$14/2, 0.5, 0))</f>
        <v>1</v>
      </c>
      <c r="AS3" s="16" t="s">
        <v>56</v>
      </c>
      <c r="AT3" s="15" t="s">
        <v>41</v>
      </c>
      <c r="AU3" s="15">
        <v>0.56435643564356397</v>
      </c>
      <c r="AV3" s="15">
        <v>0.49831398905024599</v>
      </c>
      <c r="AW3" s="15">
        <f t="shared" ref="AW3:AW13" si="9">IF(AU3 &gt; $AU$14 + $AV$14, 1, IF(AU3 &gt;= $AU$14 + $AV$14/2, 0.5, 0))</f>
        <v>1</v>
      </c>
      <c r="AX3" s="16" t="s">
        <v>58</v>
      </c>
      <c r="AY3" s="15" t="s">
        <v>41</v>
      </c>
      <c r="AZ3" s="15">
        <v>5.9405940594059403E-2</v>
      </c>
      <c r="BA3" s="15">
        <v>0.23756187312857299</v>
      </c>
      <c r="BB3" s="15">
        <f t="shared" ref="BB3:BB13" si="10">IF(AZ3 &gt; $AZ$14 + $BA$14, 1, IF(AZ3 &gt;= $AZ$14 + $BA$14/2, 0.5, 0))</f>
        <v>0</v>
      </c>
      <c r="BC3" s="16"/>
      <c r="BD3" s="15" t="s">
        <v>41</v>
      </c>
      <c r="BE3" s="15">
        <v>0</v>
      </c>
      <c r="BF3" s="15">
        <v>0</v>
      </c>
      <c r="BG3" s="15">
        <f t="shared" ref="BG3:BG13" si="11">IF(BE3 &gt; $BE$14 + $BF$14, 1, IF(BE3 &gt;= $BE$14 + $BF$14/2, 0.5, 0))</f>
        <v>0</v>
      </c>
      <c r="BH3" s="16"/>
      <c r="BI3" s="15" t="s">
        <v>43</v>
      </c>
      <c r="BJ3" s="15">
        <v>9.9009900990098994E-3</v>
      </c>
      <c r="BK3" s="15">
        <v>9.9503719020998901E-2</v>
      </c>
      <c r="BL3" s="15">
        <f t="shared" ref="BL3:BL13" si="12">IF(BJ3 &gt; $BJ$14 + $BK$14, 1, IF(BJ3 &gt;= $BJ$14 + $BK$14/2, 0.5, 0))</f>
        <v>0</v>
      </c>
      <c r="BM3" s="16"/>
      <c r="BN3" s="15" t="s">
        <v>41</v>
      </c>
      <c r="BO3" s="15" t="s">
        <v>44</v>
      </c>
    </row>
    <row r="4" spans="1:67" ht="37.25" customHeight="1" x14ac:dyDescent="0.45">
      <c r="A4" s="1">
        <v>7</v>
      </c>
      <c r="B4" s="2">
        <v>-0.41124111731267199</v>
      </c>
      <c r="C4" s="2">
        <v>0.36978820112210897</v>
      </c>
      <c r="D4" s="2">
        <f t="shared" si="0"/>
        <v>0</v>
      </c>
      <c r="E4" s="2"/>
      <c r="F4" s="2" t="s">
        <v>42</v>
      </c>
      <c r="G4" s="3">
        <v>1.0671791593747399</v>
      </c>
      <c r="H4" s="3">
        <v>0.33197435684123</v>
      </c>
      <c r="I4" s="3">
        <f t="shared" si="1"/>
        <v>1</v>
      </c>
      <c r="J4" s="7" t="s">
        <v>49</v>
      </c>
      <c r="K4" s="3" t="s">
        <v>41</v>
      </c>
      <c r="L4" s="4">
        <v>-1.2553165693588699</v>
      </c>
      <c r="M4" s="4">
        <v>0.47655132656993199</v>
      </c>
      <c r="N4" s="4">
        <f t="shared" si="2"/>
        <v>0</v>
      </c>
      <c r="O4" s="6"/>
      <c r="P4" s="4" t="s">
        <v>42</v>
      </c>
      <c r="Q4" s="3">
        <v>-0.30603961287828302</v>
      </c>
      <c r="R4" s="3">
        <v>5.3559410487744701E-2</v>
      </c>
      <c r="S4" s="3">
        <f t="shared" si="3"/>
        <v>0</v>
      </c>
      <c r="T4" s="7"/>
      <c r="U4" s="3" t="s">
        <v>42</v>
      </c>
      <c r="V4" s="4">
        <v>-0.39861301420829898</v>
      </c>
      <c r="W4" s="4">
        <v>0.150104117043871</v>
      </c>
      <c r="X4" s="4">
        <f t="shared" si="4"/>
        <v>0</v>
      </c>
      <c r="Y4" s="6"/>
      <c r="Z4" s="4" t="s">
        <v>43</v>
      </c>
      <c r="AA4" s="3">
        <v>-0.21650057972200501</v>
      </c>
      <c r="AB4" s="3">
        <v>0.30391033138072199</v>
      </c>
      <c r="AC4" s="3">
        <f t="shared" si="5"/>
        <v>0</v>
      </c>
      <c r="AD4" s="7"/>
      <c r="AE4" s="3" t="s">
        <v>43</v>
      </c>
      <c r="AF4" s="4">
        <v>-0.42859207929752202</v>
      </c>
      <c r="AG4" s="4">
        <v>0.185351871607806</v>
      </c>
      <c r="AH4" s="4">
        <f t="shared" si="6"/>
        <v>0</v>
      </c>
      <c r="AI4" s="6"/>
      <c r="AJ4" s="4" t="s">
        <v>42</v>
      </c>
      <c r="AK4" s="3">
        <v>1.0614155711122899</v>
      </c>
      <c r="AL4" s="3">
        <v>0.33153388763786501</v>
      </c>
      <c r="AM4" s="3">
        <f t="shared" si="7"/>
        <v>1</v>
      </c>
      <c r="AN4" s="7" t="s">
        <v>55</v>
      </c>
      <c r="AO4" s="3" t="s">
        <v>41</v>
      </c>
      <c r="AP4" s="4">
        <v>4.5454545454545497E-2</v>
      </c>
      <c r="AQ4" s="4">
        <v>0.20925221322752399</v>
      </c>
      <c r="AR4" s="4">
        <f t="shared" si="8"/>
        <v>0</v>
      </c>
      <c r="AS4" s="6"/>
      <c r="AT4" s="4" t="s">
        <v>41</v>
      </c>
      <c r="AU4" s="3">
        <v>9.0909090909090905E-3</v>
      </c>
      <c r="AV4" s="3">
        <v>9.5346258924559196E-2</v>
      </c>
      <c r="AW4" s="3">
        <f t="shared" si="9"/>
        <v>0</v>
      </c>
      <c r="AX4" s="7"/>
      <c r="AY4" s="3" t="s">
        <v>41</v>
      </c>
      <c r="AZ4" s="4">
        <v>7.2727272727272696E-2</v>
      </c>
      <c r="BA4" s="4">
        <v>0.26087681753707698</v>
      </c>
      <c r="BB4" s="4">
        <f t="shared" si="10"/>
        <v>0</v>
      </c>
      <c r="BC4" s="6"/>
      <c r="BD4" s="4" t="s">
        <v>41</v>
      </c>
      <c r="BE4" s="3">
        <v>0</v>
      </c>
      <c r="BF4" s="3">
        <v>0</v>
      </c>
      <c r="BG4" s="3">
        <f t="shared" si="11"/>
        <v>0</v>
      </c>
      <c r="BH4" s="7"/>
      <c r="BI4" s="3" t="s">
        <v>43</v>
      </c>
      <c r="BJ4" s="4">
        <v>0</v>
      </c>
      <c r="BK4" s="4">
        <v>0</v>
      </c>
      <c r="BL4" s="4">
        <f t="shared" si="12"/>
        <v>0</v>
      </c>
      <c r="BM4" s="6"/>
      <c r="BN4" s="4" t="s">
        <v>43</v>
      </c>
      <c r="BO4" s="1" t="s">
        <v>44</v>
      </c>
    </row>
    <row r="5" spans="1:67" ht="37.25" customHeight="1" x14ac:dyDescent="0.45">
      <c r="A5" s="1">
        <v>12</v>
      </c>
      <c r="B5" s="2">
        <v>-0.57792123567092701</v>
      </c>
      <c r="C5" s="2">
        <v>9.0329745124140395E-2</v>
      </c>
      <c r="D5" s="2">
        <f t="shared" si="0"/>
        <v>0</v>
      </c>
      <c r="E5" s="2"/>
      <c r="F5" s="2" t="s">
        <v>42</v>
      </c>
      <c r="G5" s="3">
        <v>2.51773747412977</v>
      </c>
      <c r="H5" s="3">
        <v>0.40183673060941499</v>
      </c>
      <c r="I5" s="3">
        <f t="shared" si="1"/>
        <v>1</v>
      </c>
      <c r="J5" s="7" t="s">
        <v>49</v>
      </c>
      <c r="K5" s="3" t="s">
        <v>41</v>
      </c>
      <c r="L5" s="4">
        <v>-1.1448939347940399</v>
      </c>
      <c r="M5" s="4">
        <v>0.159050492588166</v>
      </c>
      <c r="N5" s="4">
        <f t="shared" si="2"/>
        <v>0</v>
      </c>
      <c r="O5" s="6"/>
      <c r="P5" s="4" t="s">
        <v>42</v>
      </c>
      <c r="Q5" s="3">
        <v>-0.41468883319320898</v>
      </c>
      <c r="R5" s="3">
        <v>1.3417410870189101E-2</v>
      </c>
      <c r="S5" s="3">
        <f t="shared" si="3"/>
        <v>0</v>
      </c>
      <c r="T5" s="7"/>
      <c r="U5" s="3" t="s">
        <v>42</v>
      </c>
      <c r="V5" s="4">
        <v>-0.49288399392642801</v>
      </c>
      <c r="W5" s="4">
        <v>5.2862215741082498E-2</v>
      </c>
      <c r="X5" s="4">
        <f t="shared" si="4"/>
        <v>0</v>
      </c>
      <c r="Y5" s="6"/>
      <c r="Z5" s="4" t="s">
        <v>42</v>
      </c>
      <c r="AA5" s="3">
        <v>-0.24156547512117499</v>
      </c>
      <c r="AB5" s="3">
        <v>0.29293177410835097</v>
      </c>
      <c r="AC5" s="3">
        <f t="shared" si="5"/>
        <v>0</v>
      </c>
      <c r="AD5" s="7"/>
      <c r="AE5" s="3" t="s">
        <v>43</v>
      </c>
      <c r="AF5" s="4">
        <v>-0.282692678596004</v>
      </c>
      <c r="AG5" s="4">
        <v>5.2924978390496098E-2</v>
      </c>
      <c r="AH5" s="4">
        <f t="shared" si="6"/>
        <v>0</v>
      </c>
      <c r="AI5" s="6"/>
      <c r="AJ5" s="4" t="s">
        <v>43</v>
      </c>
      <c r="AK5" s="3">
        <v>3.3011516489864001</v>
      </c>
      <c r="AL5" s="3">
        <v>0.66245313694770103</v>
      </c>
      <c r="AM5" s="3">
        <f t="shared" si="7"/>
        <v>1</v>
      </c>
      <c r="AN5" s="7" t="s">
        <v>55</v>
      </c>
      <c r="AO5" s="3" t="s">
        <v>41</v>
      </c>
      <c r="AP5" s="4">
        <v>0.42553191489361702</v>
      </c>
      <c r="AQ5" s="4">
        <v>0.49976867914561102</v>
      </c>
      <c r="AR5" s="4">
        <f t="shared" si="8"/>
        <v>1</v>
      </c>
      <c r="AS5" s="6" t="s">
        <v>56</v>
      </c>
      <c r="AT5" s="4" t="s">
        <v>41</v>
      </c>
      <c r="AU5" s="3">
        <v>0.10638297872340401</v>
      </c>
      <c r="AV5" s="3">
        <v>0.31166052833390601</v>
      </c>
      <c r="AW5" s="3">
        <f t="shared" si="9"/>
        <v>0</v>
      </c>
      <c r="AX5" s="7"/>
      <c r="AY5" s="3" t="s">
        <v>41</v>
      </c>
      <c r="AZ5" s="4">
        <v>6.3829787234042507E-2</v>
      </c>
      <c r="BA5" s="4">
        <v>0.24709224814516501</v>
      </c>
      <c r="BB5" s="4">
        <f t="shared" si="10"/>
        <v>0</v>
      </c>
      <c r="BC5" s="6"/>
      <c r="BD5" s="4" t="s">
        <v>41</v>
      </c>
      <c r="BE5" s="3">
        <v>0</v>
      </c>
      <c r="BF5" s="3">
        <v>0</v>
      </c>
      <c r="BG5" s="3">
        <f t="shared" si="11"/>
        <v>0</v>
      </c>
      <c r="BH5" s="7"/>
      <c r="BI5" s="3" t="s">
        <v>43</v>
      </c>
      <c r="BJ5" s="4">
        <v>0</v>
      </c>
      <c r="BK5" s="4">
        <v>0</v>
      </c>
      <c r="BL5" s="4">
        <f t="shared" si="12"/>
        <v>0</v>
      </c>
      <c r="BM5" s="6"/>
      <c r="BN5" s="4" t="s">
        <v>43</v>
      </c>
      <c r="BO5" s="1" t="s">
        <v>44</v>
      </c>
    </row>
    <row r="6" spans="1:67" ht="37.25" customHeight="1" x14ac:dyDescent="0.45">
      <c r="A6" s="1">
        <v>17</v>
      </c>
      <c r="B6" s="2">
        <v>-0.30997444057685303</v>
      </c>
      <c r="C6" s="2">
        <v>0.17362876430933599</v>
      </c>
      <c r="D6" s="2">
        <f t="shared" si="0"/>
        <v>0</v>
      </c>
      <c r="E6" s="2"/>
      <c r="F6" s="2" t="s">
        <v>42</v>
      </c>
      <c r="G6" s="3">
        <v>-1.10969582293999</v>
      </c>
      <c r="H6" s="3">
        <v>0.15718735548830101</v>
      </c>
      <c r="I6" s="3">
        <f t="shared" si="1"/>
        <v>0</v>
      </c>
      <c r="J6" s="7"/>
      <c r="K6" s="3" t="s">
        <v>42</v>
      </c>
      <c r="L6" s="4">
        <v>1.17621390752698</v>
      </c>
      <c r="M6" s="4">
        <v>0.14081412295818299</v>
      </c>
      <c r="N6" s="4">
        <f t="shared" si="2"/>
        <v>1</v>
      </c>
      <c r="O6" s="6" t="s">
        <v>50</v>
      </c>
      <c r="P6" s="4" t="s">
        <v>41</v>
      </c>
      <c r="Q6" s="3">
        <v>-0.20068347635597</v>
      </c>
      <c r="R6" s="3">
        <v>0.178306486338283</v>
      </c>
      <c r="S6" s="3">
        <f t="shared" si="3"/>
        <v>0</v>
      </c>
      <c r="T6" s="7"/>
      <c r="U6" s="3" t="s">
        <v>43</v>
      </c>
      <c r="V6" s="4">
        <v>-0.47475166317567602</v>
      </c>
      <c r="W6" s="4">
        <v>9.0902354541807798E-2</v>
      </c>
      <c r="X6" s="4">
        <f t="shared" si="4"/>
        <v>0</v>
      </c>
      <c r="Y6" s="6"/>
      <c r="Z6" s="4" t="s">
        <v>42</v>
      </c>
      <c r="AA6" s="3">
        <v>-0.29547276082194901</v>
      </c>
      <c r="AB6" s="3">
        <v>0.20626348961583199</v>
      </c>
      <c r="AC6" s="3">
        <f t="shared" si="5"/>
        <v>0</v>
      </c>
      <c r="AD6" s="7"/>
      <c r="AE6" s="3" t="s">
        <v>43</v>
      </c>
      <c r="AF6" s="4">
        <v>1.4385915117492201</v>
      </c>
      <c r="AG6" s="4">
        <v>0.29723034646346902</v>
      </c>
      <c r="AH6" s="4">
        <f t="shared" si="6"/>
        <v>1</v>
      </c>
      <c r="AI6" s="6" t="s">
        <v>54</v>
      </c>
      <c r="AJ6" s="4" t="s">
        <v>41</v>
      </c>
      <c r="AK6" s="3">
        <v>-0.54381024597889105</v>
      </c>
      <c r="AL6" s="3">
        <v>0.11243537855124799</v>
      </c>
      <c r="AM6" s="3">
        <f t="shared" si="7"/>
        <v>0</v>
      </c>
      <c r="AN6" s="7"/>
      <c r="AO6" s="3" t="s">
        <v>42</v>
      </c>
      <c r="AP6" s="4">
        <v>9.8039215686274508E-3</v>
      </c>
      <c r="AQ6" s="4">
        <v>9.9014754297667401E-2</v>
      </c>
      <c r="AR6" s="4">
        <f t="shared" si="8"/>
        <v>0</v>
      </c>
      <c r="AS6" s="6"/>
      <c r="AT6" s="4" t="s">
        <v>41</v>
      </c>
      <c r="AU6" s="3">
        <v>2.9411764705882401E-2</v>
      </c>
      <c r="AV6" s="3">
        <v>0.16979208910779001</v>
      </c>
      <c r="AW6" s="3">
        <f t="shared" si="9"/>
        <v>0</v>
      </c>
      <c r="AX6" s="7"/>
      <c r="AY6" s="3" t="s">
        <v>41</v>
      </c>
      <c r="AZ6" s="4">
        <v>0.14705882352941199</v>
      </c>
      <c r="BA6" s="4">
        <v>0.35591351779483898</v>
      </c>
      <c r="BB6" s="4">
        <f t="shared" si="10"/>
        <v>0.5</v>
      </c>
      <c r="BC6" s="6" t="s">
        <v>59</v>
      </c>
      <c r="BD6" s="4" t="s">
        <v>41</v>
      </c>
      <c r="BE6" s="3">
        <v>0</v>
      </c>
      <c r="BF6" s="3">
        <v>0</v>
      </c>
      <c r="BG6" s="3">
        <f t="shared" si="11"/>
        <v>0</v>
      </c>
      <c r="BH6" s="7"/>
      <c r="BI6" s="3" t="s">
        <v>43</v>
      </c>
      <c r="BJ6" s="4">
        <v>0</v>
      </c>
      <c r="BK6" s="4">
        <v>0</v>
      </c>
      <c r="BL6" s="4">
        <f t="shared" si="12"/>
        <v>0</v>
      </c>
      <c r="BM6" s="6"/>
      <c r="BN6" s="4" t="s">
        <v>43</v>
      </c>
      <c r="BO6" s="1" t="s">
        <v>44</v>
      </c>
    </row>
    <row r="7" spans="1:67" s="17" customFormat="1" ht="37.25" customHeight="1" x14ac:dyDescent="0.45">
      <c r="A7" s="15">
        <v>20</v>
      </c>
      <c r="B7" s="15">
        <v>0.49499947519017301</v>
      </c>
      <c r="C7" s="15">
        <v>0.78835877871883298</v>
      </c>
      <c r="D7" s="15">
        <f t="shared" si="0"/>
        <v>0.5</v>
      </c>
      <c r="E7" s="16" t="s">
        <v>48</v>
      </c>
      <c r="F7" s="15" t="s">
        <v>41</v>
      </c>
      <c r="G7" s="15">
        <v>1.02509618660568</v>
      </c>
      <c r="H7" s="15">
        <v>0.45541729442246498</v>
      </c>
      <c r="I7" s="15">
        <f t="shared" si="1"/>
        <v>1</v>
      </c>
      <c r="J7" s="16" t="s">
        <v>49</v>
      </c>
      <c r="K7" s="15" t="s">
        <v>41</v>
      </c>
      <c r="L7" s="15">
        <v>-0.40710857331915601</v>
      </c>
      <c r="M7" s="15">
        <v>0.53519225399979498</v>
      </c>
      <c r="N7" s="15">
        <f t="shared" si="2"/>
        <v>0</v>
      </c>
      <c r="O7" s="16"/>
      <c r="P7" s="15" t="s">
        <v>42</v>
      </c>
      <c r="Q7" s="15">
        <v>-0.121817981618994</v>
      </c>
      <c r="R7" s="15">
        <v>0.254035127411671</v>
      </c>
      <c r="S7" s="15">
        <f t="shared" si="3"/>
        <v>0</v>
      </c>
      <c r="T7" s="16"/>
      <c r="U7" s="15" t="s">
        <v>43</v>
      </c>
      <c r="V7" s="15">
        <v>1.72839248670861</v>
      </c>
      <c r="W7" s="15">
        <v>0.71538027448112895</v>
      </c>
      <c r="X7" s="15">
        <f t="shared" si="4"/>
        <v>1</v>
      </c>
      <c r="Y7" s="16" t="s">
        <v>52</v>
      </c>
      <c r="Z7" s="15" t="s">
        <v>41</v>
      </c>
      <c r="AA7" s="15">
        <v>-5.9011575541997797E-2</v>
      </c>
      <c r="AB7" s="15">
        <v>0.42564150492705899</v>
      </c>
      <c r="AC7" s="15">
        <f t="shared" si="5"/>
        <v>0</v>
      </c>
      <c r="AD7" s="16"/>
      <c r="AE7" s="15" t="s">
        <v>41</v>
      </c>
      <c r="AF7" s="15">
        <v>-0.21094045433197001</v>
      </c>
      <c r="AG7" s="15">
        <v>0.16674522850651999</v>
      </c>
      <c r="AH7" s="15">
        <f t="shared" si="6"/>
        <v>0</v>
      </c>
      <c r="AI7" s="16"/>
      <c r="AJ7" s="15" t="s">
        <v>43</v>
      </c>
      <c r="AK7" s="15">
        <v>0.82535741857714795</v>
      </c>
      <c r="AL7" s="15">
        <v>0.47491115008162799</v>
      </c>
      <c r="AM7" s="15">
        <f t="shared" si="7"/>
        <v>1</v>
      </c>
      <c r="AN7" s="16" t="s">
        <v>55</v>
      </c>
      <c r="AO7" s="15" t="s">
        <v>41</v>
      </c>
      <c r="AP7" s="15">
        <v>0.22222222222222199</v>
      </c>
      <c r="AQ7" s="15">
        <v>0.42043748259126101</v>
      </c>
      <c r="AR7" s="15">
        <f t="shared" si="8"/>
        <v>0.5</v>
      </c>
      <c r="AS7" s="16" t="s">
        <v>57</v>
      </c>
      <c r="AT7" s="15" t="s">
        <v>41</v>
      </c>
      <c r="AU7" s="15">
        <v>0.133333333333333</v>
      </c>
      <c r="AV7" s="15">
        <v>0.34377582547616398</v>
      </c>
      <c r="AW7" s="15">
        <f t="shared" si="9"/>
        <v>0</v>
      </c>
      <c r="AX7" s="16"/>
      <c r="AY7" s="15" t="s">
        <v>41</v>
      </c>
      <c r="AZ7" s="15">
        <v>0</v>
      </c>
      <c r="BA7" s="15">
        <v>0</v>
      </c>
      <c r="BB7" s="15">
        <f t="shared" si="10"/>
        <v>0</v>
      </c>
      <c r="BC7" s="16"/>
      <c r="BD7" s="15" t="s">
        <v>43</v>
      </c>
      <c r="BE7" s="15">
        <v>0</v>
      </c>
      <c r="BF7" s="15">
        <v>0</v>
      </c>
      <c r="BG7" s="15">
        <f t="shared" si="11"/>
        <v>0</v>
      </c>
      <c r="BH7" s="16"/>
      <c r="BI7" s="15" t="s">
        <v>43</v>
      </c>
      <c r="BJ7" s="15">
        <v>0</v>
      </c>
      <c r="BK7" s="15">
        <v>0</v>
      </c>
      <c r="BL7" s="15">
        <f t="shared" si="12"/>
        <v>0</v>
      </c>
      <c r="BM7" s="16"/>
      <c r="BN7" s="15" t="s">
        <v>43</v>
      </c>
      <c r="BO7" s="15" t="s">
        <v>44</v>
      </c>
    </row>
    <row r="8" spans="1:67" s="17" customFormat="1" ht="37.25" customHeight="1" x14ac:dyDescent="0.45">
      <c r="A8" s="15">
        <v>21</v>
      </c>
      <c r="B8" s="15">
        <v>3.4635081029063</v>
      </c>
      <c r="C8" s="15">
        <v>0.72895604513662704</v>
      </c>
      <c r="D8" s="15">
        <f t="shared" si="0"/>
        <v>1</v>
      </c>
      <c r="E8" s="16" t="s">
        <v>47</v>
      </c>
      <c r="F8" s="15" t="s">
        <v>41</v>
      </c>
      <c r="G8" s="15">
        <v>0.76168255342561897</v>
      </c>
      <c r="H8" s="15">
        <v>0.61340516624208896</v>
      </c>
      <c r="I8" s="15">
        <f>IF(G8 &gt; $G$14 + $H$14, 1, IF(G8 &gt;= $G$14 + $H$14/2, 0.5, 0))</f>
        <v>1</v>
      </c>
      <c r="J8" s="16" t="s">
        <v>49</v>
      </c>
      <c r="K8" s="15" t="s">
        <v>41</v>
      </c>
      <c r="L8" s="15">
        <v>-0.77023455301495003</v>
      </c>
      <c r="M8" s="15">
        <v>0.35406056393457502</v>
      </c>
      <c r="N8" s="15">
        <f t="shared" si="2"/>
        <v>0</v>
      </c>
      <c r="O8" s="16"/>
      <c r="P8" s="15" t="s">
        <v>42</v>
      </c>
      <c r="Q8" s="15">
        <v>-0.14223063530229499</v>
      </c>
      <c r="R8" s="15">
        <v>0.201501902656325</v>
      </c>
      <c r="S8" s="15">
        <f t="shared" si="3"/>
        <v>0</v>
      </c>
      <c r="T8" s="16"/>
      <c r="U8" s="15" t="s">
        <v>43</v>
      </c>
      <c r="V8" s="15">
        <v>-1.42874044196186E-2</v>
      </c>
      <c r="W8" s="15">
        <v>0.486871598429511</v>
      </c>
      <c r="X8" s="15">
        <f t="shared" si="4"/>
        <v>0</v>
      </c>
      <c r="Y8" s="16"/>
      <c r="Z8" s="15" t="s">
        <v>41</v>
      </c>
      <c r="AA8" s="15">
        <v>-0.26257327377630602</v>
      </c>
      <c r="AB8" s="15">
        <v>0.151684831568169</v>
      </c>
      <c r="AC8" s="15">
        <f t="shared" si="5"/>
        <v>0</v>
      </c>
      <c r="AD8" s="16"/>
      <c r="AE8" s="15" t="s">
        <v>43</v>
      </c>
      <c r="AF8" s="15">
        <v>-0.38435031085593402</v>
      </c>
      <c r="AG8" s="15">
        <v>0.23731391982984801</v>
      </c>
      <c r="AH8" s="15">
        <f t="shared" si="6"/>
        <v>0</v>
      </c>
      <c r="AI8" s="16"/>
      <c r="AJ8" s="15" t="s">
        <v>42</v>
      </c>
      <c r="AK8" s="15">
        <v>0.16946351124544101</v>
      </c>
      <c r="AL8" s="15">
        <v>0.54474202479883904</v>
      </c>
      <c r="AM8" s="15">
        <f t="shared" si="7"/>
        <v>0</v>
      </c>
      <c r="AN8" s="16"/>
      <c r="AO8" s="15" t="s">
        <v>43</v>
      </c>
      <c r="AP8" s="15">
        <v>6.8965517241379296E-2</v>
      </c>
      <c r="AQ8" s="15">
        <v>0.25788071477756402</v>
      </c>
      <c r="AR8" s="15">
        <f t="shared" si="8"/>
        <v>0</v>
      </c>
      <c r="AS8" s="16"/>
      <c r="AT8" s="15" t="s">
        <v>41</v>
      </c>
      <c r="AU8" s="15">
        <v>3.4482758620689703E-2</v>
      </c>
      <c r="AV8" s="15">
        <v>0.185695338177052</v>
      </c>
      <c r="AW8" s="15">
        <f t="shared" si="9"/>
        <v>0</v>
      </c>
      <c r="AX8" s="16"/>
      <c r="AY8" s="15" t="s">
        <v>41</v>
      </c>
      <c r="AZ8" s="15">
        <v>0</v>
      </c>
      <c r="BA8" s="15">
        <v>0</v>
      </c>
      <c r="BB8" s="15">
        <f t="shared" si="10"/>
        <v>0</v>
      </c>
      <c r="BC8" s="16"/>
      <c r="BD8" s="15" t="s">
        <v>43</v>
      </c>
      <c r="BE8" s="15">
        <v>0</v>
      </c>
      <c r="BF8" s="15">
        <v>0</v>
      </c>
      <c r="BG8" s="15">
        <f t="shared" si="11"/>
        <v>0</v>
      </c>
      <c r="BH8" s="16"/>
      <c r="BI8" s="15" t="s">
        <v>43</v>
      </c>
      <c r="BJ8" s="15">
        <v>0.10344827586206901</v>
      </c>
      <c r="BK8" s="15">
        <v>0.309934046694603</v>
      </c>
      <c r="BL8" s="15">
        <f t="shared" si="12"/>
        <v>0.5</v>
      </c>
      <c r="BM8" s="16" t="s">
        <v>63</v>
      </c>
      <c r="BN8" s="15" t="s">
        <v>41</v>
      </c>
      <c r="BO8" s="15" t="s">
        <v>44</v>
      </c>
    </row>
    <row r="9" spans="1:67" ht="37.25" customHeight="1" x14ac:dyDescent="0.45">
      <c r="A9" s="1">
        <v>27</v>
      </c>
      <c r="B9" s="2">
        <v>-0.25548659271089402</v>
      </c>
      <c r="C9" s="2">
        <v>0.30268989523437101</v>
      </c>
      <c r="D9" s="2">
        <f t="shared" si="0"/>
        <v>0</v>
      </c>
      <c r="E9" s="2"/>
      <c r="F9" s="2" t="s">
        <v>43</v>
      </c>
      <c r="G9" s="3">
        <v>-0.99125108365963399</v>
      </c>
      <c r="H9" s="3">
        <v>0.22695632961984299</v>
      </c>
      <c r="I9" s="3">
        <f t="shared" si="1"/>
        <v>0</v>
      </c>
      <c r="J9" s="3"/>
      <c r="K9" s="3" t="s">
        <v>42</v>
      </c>
      <c r="L9" s="4">
        <v>1.2700375313945</v>
      </c>
      <c r="M9" s="4">
        <v>0.19739053446808</v>
      </c>
      <c r="N9" s="4">
        <f t="shared" si="2"/>
        <v>1</v>
      </c>
      <c r="O9" s="6" t="s">
        <v>50</v>
      </c>
      <c r="P9" s="4" t="s">
        <v>41</v>
      </c>
      <c r="Q9" s="3">
        <v>2.0498996020989702E-2</v>
      </c>
      <c r="R9" s="3">
        <v>0.16098630297104499</v>
      </c>
      <c r="S9" s="3">
        <f t="shared" si="3"/>
        <v>1</v>
      </c>
      <c r="T9" s="7" t="s">
        <v>46</v>
      </c>
      <c r="U9" s="3" t="s">
        <v>41</v>
      </c>
      <c r="V9" s="4">
        <v>-0.44610365508001498</v>
      </c>
      <c r="W9" s="4">
        <v>0.185598283766989</v>
      </c>
      <c r="X9" s="4">
        <f t="shared" si="4"/>
        <v>0</v>
      </c>
      <c r="Y9" s="6"/>
      <c r="Z9" s="4" t="s">
        <v>42</v>
      </c>
      <c r="AA9" s="3">
        <v>-0.24731601690049901</v>
      </c>
      <c r="AB9" s="3">
        <v>0.234400057856297</v>
      </c>
      <c r="AC9" s="3">
        <f t="shared" si="5"/>
        <v>0</v>
      </c>
      <c r="AD9" s="7"/>
      <c r="AE9" s="3" t="s">
        <v>43</v>
      </c>
      <c r="AF9" s="4">
        <v>-0.15385323354557401</v>
      </c>
      <c r="AG9" s="4">
        <v>0.36349602998448399</v>
      </c>
      <c r="AH9" s="4">
        <f t="shared" si="6"/>
        <v>0</v>
      </c>
      <c r="AI9" s="6"/>
      <c r="AJ9" s="4" t="s">
        <v>43</v>
      </c>
      <c r="AK9" s="3">
        <v>-0.70384041283632703</v>
      </c>
      <c r="AL9" s="3">
        <v>9.1724163352971497E-2</v>
      </c>
      <c r="AM9" s="3">
        <f t="shared" si="7"/>
        <v>0</v>
      </c>
      <c r="AN9" s="7"/>
      <c r="AO9" s="3" t="s">
        <v>42</v>
      </c>
      <c r="AP9" s="4">
        <v>7.0422535211267595E-2</v>
      </c>
      <c r="AQ9" s="4">
        <v>0.25767885117341799</v>
      </c>
      <c r="AR9" s="4">
        <f t="shared" si="8"/>
        <v>0</v>
      </c>
      <c r="AS9" s="6"/>
      <c r="AT9" s="4" t="s">
        <v>41</v>
      </c>
      <c r="AU9" s="3">
        <v>1.4084507042253501E-2</v>
      </c>
      <c r="AV9" s="3">
        <v>0.11867816581938501</v>
      </c>
      <c r="AW9" s="3">
        <f t="shared" si="9"/>
        <v>0</v>
      </c>
      <c r="AX9" s="7"/>
      <c r="AY9" s="3" t="s">
        <v>41</v>
      </c>
      <c r="AZ9" s="4">
        <v>0.11267605633802801</v>
      </c>
      <c r="BA9" s="4">
        <v>0.31844693546056502</v>
      </c>
      <c r="BB9" s="4">
        <f t="shared" si="10"/>
        <v>0</v>
      </c>
      <c r="BC9" s="6"/>
      <c r="BD9" s="4" t="s">
        <v>41</v>
      </c>
      <c r="BE9" s="3">
        <v>4.2253521126760597E-2</v>
      </c>
      <c r="BF9" s="3">
        <v>0.20259880963617699</v>
      </c>
      <c r="BG9" s="3">
        <f t="shared" si="11"/>
        <v>1</v>
      </c>
      <c r="BH9" s="7" t="s">
        <v>61</v>
      </c>
      <c r="BI9" s="3" t="s">
        <v>41</v>
      </c>
      <c r="BJ9" s="4">
        <v>0</v>
      </c>
      <c r="BK9" s="4">
        <v>0</v>
      </c>
      <c r="BL9" s="4">
        <f t="shared" si="12"/>
        <v>0</v>
      </c>
      <c r="BM9" s="6"/>
      <c r="BN9" s="4" t="s">
        <v>43</v>
      </c>
      <c r="BO9" s="1" t="s">
        <v>44</v>
      </c>
    </row>
    <row r="10" spans="1:67" ht="37.25" customHeight="1" x14ac:dyDescent="0.45">
      <c r="A10" s="1">
        <v>29</v>
      </c>
      <c r="B10" s="2">
        <v>-0.43003317155622101</v>
      </c>
      <c r="C10" s="2">
        <v>0.10110122103177099</v>
      </c>
      <c r="D10" s="2">
        <f t="shared" si="0"/>
        <v>0</v>
      </c>
      <c r="E10" s="2"/>
      <c r="F10" s="2" t="s">
        <v>42</v>
      </c>
      <c r="G10" s="3">
        <v>-5.5321782640842997E-2</v>
      </c>
      <c r="H10" s="3">
        <v>0.43420449863713501</v>
      </c>
      <c r="I10" s="3">
        <f t="shared" si="1"/>
        <v>0</v>
      </c>
      <c r="J10" s="3"/>
      <c r="K10" s="3" t="s">
        <v>43</v>
      </c>
      <c r="L10" s="4">
        <v>0.49641766388690201</v>
      </c>
      <c r="M10" s="4">
        <v>0.27089676507204702</v>
      </c>
      <c r="N10" s="4">
        <f t="shared" si="2"/>
        <v>1</v>
      </c>
      <c r="O10" s="6" t="s">
        <v>50</v>
      </c>
      <c r="P10" s="4" t="s">
        <v>43</v>
      </c>
      <c r="Q10" s="3">
        <v>-0.40278157774777101</v>
      </c>
      <c r="R10" s="3">
        <v>4.0029710232682598E-2</v>
      </c>
      <c r="S10" s="3">
        <f t="shared" si="3"/>
        <v>0</v>
      </c>
      <c r="T10" s="7"/>
      <c r="U10" s="3" t="s">
        <v>42</v>
      </c>
      <c r="V10" s="4">
        <v>3.8335656191602001</v>
      </c>
      <c r="W10" s="4">
        <v>0.96555135501022005</v>
      </c>
      <c r="X10" s="4">
        <f t="shared" si="4"/>
        <v>1</v>
      </c>
      <c r="Y10" s="6" t="s">
        <v>52</v>
      </c>
      <c r="Z10" s="4" t="s">
        <v>41</v>
      </c>
      <c r="AA10" s="3">
        <v>0.59925838090439099</v>
      </c>
      <c r="AB10" s="3">
        <v>1.3610043919491399</v>
      </c>
      <c r="AC10" s="3">
        <f t="shared" si="5"/>
        <v>1</v>
      </c>
      <c r="AD10" s="7" t="s">
        <v>53</v>
      </c>
      <c r="AE10" s="3" t="s">
        <v>41</v>
      </c>
      <c r="AF10" s="4">
        <v>2.4234810771396198</v>
      </c>
      <c r="AG10" s="4">
        <v>9.1650247589353404E-2</v>
      </c>
      <c r="AH10" s="4">
        <f t="shared" si="6"/>
        <v>1</v>
      </c>
      <c r="AI10" s="6" t="s">
        <v>54</v>
      </c>
      <c r="AJ10" s="4" t="s">
        <v>41</v>
      </c>
      <c r="AK10" s="3">
        <v>-0.243912633230463</v>
      </c>
      <c r="AL10" s="3">
        <v>0.126027178207234</v>
      </c>
      <c r="AM10" s="3">
        <f t="shared" si="7"/>
        <v>0</v>
      </c>
      <c r="AN10" s="7"/>
      <c r="AO10" s="3" t="s">
        <v>43</v>
      </c>
      <c r="AP10" s="4">
        <v>0</v>
      </c>
      <c r="AQ10" s="4">
        <v>0</v>
      </c>
      <c r="AR10" s="4">
        <f t="shared" si="8"/>
        <v>0</v>
      </c>
      <c r="AS10" s="6"/>
      <c r="AT10" s="4" t="s">
        <v>43</v>
      </c>
      <c r="AU10" s="3">
        <v>2.2222222222222199E-2</v>
      </c>
      <c r="AV10" s="3">
        <v>0.14907119849998601</v>
      </c>
      <c r="AW10" s="3">
        <f t="shared" si="9"/>
        <v>0</v>
      </c>
      <c r="AX10" s="7"/>
      <c r="AY10" s="3" t="s">
        <v>41</v>
      </c>
      <c r="AZ10" s="4">
        <v>0.24444444444444399</v>
      </c>
      <c r="BA10" s="4">
        <v>0.43461349368017699</v>
      </c>
      <c r="BB10" s="4">
        <f t="shared" si="10"/>
        <v>1</v>
      </c>
      <c r="BC10" s="6" t="s">
        <v>60</v>
      </c>
      <c r="BD10" s="4" t="s">
        <v>41</v>
      </c>
      <c r="BE10" s="3">
        <v>0</v>
      </c>
      <c r="BF10" s="3">
        <v>0</v>
      </c>
      <c r="BG10" s="3">
        <f t="shared" si="11"/>
        <v>0</v>
      </c>
      <c r="BH10" s="7"/>
      <c r="BI10" s="3" t="s">
        <v>43</v>
      </c>
      <c r="BJ10" s="4">
        <v>0.11111111111111099</v>
      </c>
      <c r="BK10" s="4">
        <v>0.31782086308186402</v>
      </c>
      <c r="BL10" s="4">
        <f t="shared" si="12"/>
        <v>1</v>
      </c>
      <c r="BM10" s="6" t="s">
        <v>62</v>
      </c>
      <c r="BN10" s="4" t="s">
        <v>41</v>
      </c>
      <c r="BO10" s="1" t="s">
        <v>44</v>
      </c>
    </row>
    <row r="11" spans="1:67" ht="37.25" customHeight="1" x14ac:dyDescent="0.45">
      <c r="A11" s="1">
        <v>33</v>
      </c>
      <c r="B11" s="2">
        <v>-8.0668091936116695E-2</v>
      </c>
      <c r="C11" s="2">
        <v>0.32313110913230098</v>
      </c>
      <c r="D11" s="2">
        <f t="shared" si="0"/>
        <v>0</v>
      </c>
      <c r="E11" s="2"/>
      <c r="F11" s="2" t="s">
        <v>43</v>
      </c>
      <c r="G11" s="3">
        <v>-0.60828421199579297</v>
      </c>
      <c r="H11" s="3">
        <v>0.38559036737805302</v>
      </c>
      <c r="I11" s="3">
        <f t="shared" si="1"/>
        <v>0</v>
      </c>
      <c r="J11" s="3"/>
      <c r="K11" s="3" t="s">
        <v>42</v>
      </c>
      <c r="L11" s="4">
        <v>0.94554644965666101</v>
      </c>
      <c r="M11" s="4">
        <v>0.38002789983333601</v>
      </c>
      <c r="N11" s="4">
        <f t="shared" si="2"/>
        <v>1</v>
      </c>
      <c r="O11" s="6" t="s">
        <v>50</v>
      </c>
      <c r="P11" s="4" t="s">
        <v>43</v>
      </c>
      <c r="Q11" s="3">
        <v>-5.0062181974226398E-2</v>
      </c>
      <c r="R11" s="3">
        <v>0.172453781115742</v>
      </c>
      <c r="S11" s="3">
        <f t="shared" si="3"/>
        <v>1</v>
      </c>
      <c r="T11" s="7" t="s">
        <v>46</v>
      </c>
      <c r="U11" s="3" t="s">
        <v>41</v>
      </c>
      <c r="V11" s="4">
        <v>-0.36276850863488802</v>
      </c>
      <c r="W11" s="4">
        <v>0.20463124203872801</v>
      </c>
      <c r="X11" s="4">
        <f t="shared" si="4"/>
        <v>0</v>
      </c>
      <c r="Y11" s="6"/>
      <c r="Z11" s="4" t="s">
        <v>43</v>
      </c>
      <c r="AA11" s="3">
        <v>1.43501652258477</v>
      </c>
      <c r="AB11" s="3">
        <v>0.60687348822781695</v>
      </c>
      <c r="AC11" s="3">
        <f t="shared" si="5"/>
        <v>1</v>
      </c>
      <c r="AD11" s="7" t="s">
        <v>53</v>
      </c>
      <c r="AE11" s="3" t="s">
        <v>41</v>
      </c>
      <c r="AF11" s="4">
        <v>-3.2774064848782702E-2</v>
      </c>
      <c r="AG11" s="4">
        <v>0.56901463267649999</v>
      </c>
      <c r="AH11" s="4">
        <f t="shared" si="6"/>
        <v>0</v>
      </c>
      <c r="AI11" s="6"/>
      <c r="AJ11" s="4" t="s">
        <v>43</v>
      </c>
      <c r="AK11" s="3">
        <v>-0.53500810685901901</v>
      </c>
      <c r="AL11" s="3">
        <v>0.285639687721293</v>
      </c>
      <c r="AM11" s="3">
        <f t="shared" si="7"/>
        <v>0</v>
      </c>
      <c r="AN11" s="7"/>
      <c r="AO11" s="3" t="s">
        <v>42</v>
      </c>
      <c r="AP11" s="4">
        <v>4.08163265306122E-2</v>
      </c>
      <c r="AQ11" s="4">
        <v>0.19991494790174599</v>
      </c>
      <c r="AR11" s="4">
        <f t="shared" si="8"/>
        <v>0</v>
      </c>
      <c r="AS11" s="6"/>
      <c r="AT11" s="4" t="s">
        <v>41</v>
      </c>
      <c r="AU11" s="3">
        <v>0.20408163265306101</v>
      </c>
      <c r="AV11" s="3">
        <v>0.407205508963978</v>
      </c>
      <c r="AW11" s="3">
        <f t="shared" si="9"/>
        <v>1</v>
      </c>
      <c r="AX11" s="7" t="s">
        <v>58</v>
      </c>
      <c r="AY11" s="3" t="s">
        <v>41</v>
      </c>
      <c r="AZ11" s="4">
        <v>0.122448979591837</v>
      </c>
      <c r="BA11" s="4">
        <v>0.33120066055341801</v>
      </c>
      <c r="BB11" s="4">
        <f t="shared" si="10"/>
        <v>0</v>
      </c>
      <c r="BC11" s="6"/>
      <c r="BD11" s="4" t="s">
        <v>41</v>
      </c>
      <c r="BE11" s="3">
        <v>0</v>
      </c>
      <c r="BF11" s="3">
        <v>0</v>
      </c>
      <c r="BG11" s="3">
        <f t="shared" si="11"/>
        <v>0</v>
      </c>
      <c r="BH11" s="7"/>
      <c r="BI11" s="3" t="s">
        <v>43</v>
      </c>
      <c r="BJ11" s="4">
        <v>0.102040816326531</v>
      </c>
      <c r="BK11" s="4">
        <v>0.30583887092059803</v>
      </c>
      <c r="BL11" s="4">
        <f t="shared" si="12"/>
        <v>0.5</v>
      </c>
      <c r="BM11" s="6" t="s">
        <v>63</v>
      </c>
      <c r="BN11" s="4" t="s">
        <v>41</v>
      </c>
      <c r="BO11" s="1" t="s">
        <v>44</v>
      </c>
    </row>
    <row r="12" spans="1:67" ht="37.25" customHeight="1" x14ac:dyDescent="0.45">
      <c r="A12" s="1">
        <v>34</v>
      </c>
      <c r="B12" s="2">
        <v>-0.377485241939512</v>
      </c>
      <c r="C12" s="2">
        <v>0.18082393172581199</v>
      </c>
      <c r="D12" s="2">
        <f t="shared" si="0"/>
        <v>0</v>
      </c>
      <c r="E12" s="2"/>
      <c r="F12" s="2" t="s">
        <v>42</v>
      </c>
      <c r="G12" s="3">
        <v>-0.35445874940983002</v>
      </c>
      <c r="H12" s="3">
        <v>0.43863018014296501</v>
      </c>
      <c r="I12" s="3">
        <f t="shared" si="1"/>
        <v>0</v>
      </c>
      <c r="J12" s="3"/>
      <c r="K12" s="3" t="s">
        <v>42</v>
      </c>
      <c r="L12" s="4">
        <v>0.67910744984222904</v>
      </c>
      <c r="M12" s="4">
        <v>0.28170890901714801</v>
      </c>
      <c r="N12" s="4">
        <f t="shared" si="2"/>
        <v>1</v>
      </c>
      <c r="O12" s="6" t="s">
        <v>50</v>
      </c>
      <c r="P12" s="4" t="s">
        <v>43</v>
      </c>
      <c r="Q12" s="3">
        <v>-0.38470738137951099</v>
      </c>
      <c r="R12" s="3">
        <v>6.6306477604702596E-2</v>
      </c>
      <c r="S12" s="3">
        <f t="shared" si="3"/>
        <v>0</v>
      </c>
      <c r="T12" s="7"/>
      <c r="U12" s="3" t="s">
        <v>42</v>
      </c>
      <c r="V12" s="4">
        <v>1.8836617692405</v>
      </c>
      <c r="W12" s="4">
        <v>0.59681777265837099</v>
      </c>
      <c r="X12" s="4">
        <f t="shared" si="4"/>
        <v>1</v>
      </c>
      <c r="Y12" s="6" t="s">
        <v>52</v>
      </c>
      <c r="Z12" s="4" t="s">
        <v>41</v>
      </c>
      <c r="AA12" s="3">
        <v>2.48403579660854E-2</v>
      </c>
      <c r="AB12" s="3">
        <v>0.65041528684244199</v>
      </c>
      <c r="AC12" s="3">
        <f t="shared" si="5"/>
        <v>0</v>
      </c>
      <c r="AD12" s="7"/>
      <c r="AE12" s="3" t="s">
        <v>41</v>
      </c>
      <c r="AF12" s="4">
        <v>2.3228342319337201</v>
      </c>
      <c r="AG12" s="4">
        <v>0.214047010778221</v>
      </c>
      <c r="AH12" s="4">
        <f t="shared" si="6"/>
        <v>1</v>
      </c>
      <c r="AI12" s="6" t="s">
        <v>54</v>
      </c>
      <c r="AJ12" s="4" t="s">
        <v>41</v>
      </c>
      <c r="AK12" s="3">
        <v>-0.290018024789988</v>
      </c>
      <c r="AL12" s="3">
        <v>0.12862461555106</v>
      </c>
      <c r="AM12" s="3">
        <f t="shared" si="7"/>
        <v>0</v>
      </c>
      <c r="AN12" s="7"/>
      <c r="AO12" s="3" t="s">
        <v>43</v>
      </c>
      <c r="AP12" s="4">
        <v>0</v>
      </c>
      <c r="AQ12" s="4">
        <v>0</v>
      </c>
      <c r="AR12" s="4">
        <f t="shared" si="8"/>
        <v>0</v>
      </c>
      <c r="AS12" s="6"/>
      <c r="AT12" s="4" t="s">
        <v>43</v>
      </c>
      <c r="AU12" s="3">
        <v>2.6315789473684199E-2</v>
      </c>
      <c r="AV12" s="3">
        <v>0.16222142113076299</v>
      </c>
      <c r="AW12" s="3">
        <f t="shared" si="9"/>
        <v>0</v>
      </c>
      <c r="AX12" s="7"/>
      <c r="AY12" s="3" t="s">
        <v>41</v>
      </c>
      <c r="AZ12" s="4">
        <v>0.157894736842105</v>
      </c>
      <c r="BA12" s="4">
        <v>0.36953702147663198</v>
      </c>
      <c r="BB12" s="4">
        <f t="shared" si="10"/>
        <v>0.5</v>
      </c>
      <c r="BC12" s="6" t="s">
        <v>59</v>
      </c>
      <c r="BD12" s="4" t="s">
        <v>41</v>
      </c>
      <c r="BE12" s="3">
        <v>0</v>
      </c>
      <c r="BF12" s="3">
        <v>0</v>
      </c>
      <c r="BG12" s="3">
        <f t="shared" si="11"/>
        <v>0</v>
      </c>
      <c r="BH12" s="7"/>
      <c r="BI12" s="3" t="s">
        <v>43</v>
      </c>
      <c r="BJ12" s="4">
        <v>0.105263157894737</v>
      </c>
      <c r="BK12" s="4">
        <v>0.31101174777590501</v>
      </c>
      <c r="BL12" s="4">
        <f t="shared" si="12"/>
        <v>0.5</v>
      </c>
      <c r="BM12" s="6" t="s">
        <v>63</v>
      </c>
      <c r="BN12" s="4" t="s">
        <v>41</v>
      </c>
      <c r="BO12" s="1" t="s">
        <v>44</v>
      </c>
    </row>
    <row r="13" spans="1:67" ht="37.25" customHeight="1" x14ac:dyDescent="0.45">
      <c r="A13" s="1">
        <v>36</v>
      </c>
      <c r="B13" s="2">
        <v>0.18275687122833301</v>
      </c>
      <c r="C13" s="2">
        <v>0.70400874843484995</v>
      </c>
      <c r="D13" s="2">
        <f t="shared" si="0"/>
        <v>0</v>
      </c>
      <c r="E13" s="2"/>
      <c r="F13" s="2" t="s">
        <v>41</v>
      </c>
      <c r="G13" s="3">
        <v>-2.3417187255218901E-2</v>
      </c>
      <c r="H13" s="3">
        <v>0.63133784425334505</v>
      </c>
      <c r="I13" s="3">
        <f t="shared" si="1"/>
        <v>0</v>
      </c>
      <c r="J13" s="3"/>
      <c r="K13" s="3" t="s">
        <v>43</v>
      </c>
      <c r="L13" s="4">
        <v>0.29146594208589599</v>
      </c>
      <c r="M13" s="4">
        <v>0.850907380225428</v>
      </c>
      <c r="N13" s="4">
        <f t="shared" si="2"/>
        <v>0.5</v>
      </c>
      <c r="O13" s="6" t="s">
        <v>51</v>
      </c>
      <c r="P13" s="4" t="s">
        <v>43</v>
      </c>
      <c r="Q13" s="3">
        <v>-0.19499957400030299</v>
      </c>
      <c r="R13" s="3">
        <v>0.27555197930544201</v>
      </c>
      <c r="S13" s="3">
        <f t="shared" si="3"/>
        <v>0</v>
      </c>
      <c r="T13" s="7"/>
      <c r="U13" s="3" t="s">
        <v>43</v>
      </c>
      <c r="V13" s="4">
        <v>4.54568526870388E-2</v>
      </c>
      <c r="W13" s="4">
        <v>0.72582673579883095</v>
      </c>
      <c r="X13" s="4">
        <f t="shared" si="4"/>
        <v>0</v>
      </c>
      <c r="Y13" s="6"/>
      <c r="Z13" s="4" t="s">
        <v>41</v>
      </c>
      <c r="AA13" s="3">
        <v>3.26442956604108</v>
      </c>
      <c r="AB13" s="3">
        <v>0.71883615875347595</v>
      </c>
      <c r="AC13" s="3">
        <f t="shared" si="5"/>
        <v>1</v>
      </c>
      <c r="AD13" s="7" t="s">
        <v>53</v>
      </c>
      <c r="AE13" s="3" t="s">
        <v>41</v>
      </c>
      <c r="AF13" s="4">
        <v>0.36055042857191</v>
      </c>
      <c r="AG13" s="4">
        <v>0.93787905387468395</v>
      </c>
      <c r="AH13" s="4">
        <f t="shared" si="6"/>
        <v>0</v>
      </c>
      <c r="AI13" s="6"/>
      <c r="AJ13" s="4" t="s">
        <v>41</v>
      </c>
      <c r="AK13" s="3">
        <v>-7.6628254506846502E-2</v>
      </c>
      <c r="AL13" s="3">
        <v>0.38612687027653297</v>
      </c>
      <c r="AM13" s="3">
        <f t="shared" si="7"/>
        <v>0</v>
      </c>
      <c r="AN13" s="7"/>
      <c r="AO13" s="3" t="s">
        <v>43</v>
      </c>
      <c r="AP13" s="4">
        <v>0.119047619047619</v>
      </c>
      <c r="AQ13" s="4">
        <v>0.32777006756156801</v>
      </c>
      <c r="AR13" s="4">
        <f t="shared" si="8"/>
        <v>0</v>
      </c>
      <c r="AS13" s="6"/>
      <c r="AT13" s="4" t="s">
        <v>41</v>
      </c>
      <c r="AU13" s="3">
        <v>0.119047619047619</v>
      </c>
      <c r="AV13" s="3">
        <v>0.32777006756156801</v>
      </c>
      <c r="AW13" s="3">
        <f t="shared" si="9"/>
        <v>0</v>
      </c>
      <c r="AX13" s="7"/>
      <c r="AY13" s="3" t="s">
        <v>41</v>
      </c>
      <c r="AZ13" s="4">
        <v>7.1428571428571397E-2</v>
      </c>
      <c r="BA13" s="4">
        <v>0.260661180215007</v>
      </c>
      <c r="BB13" s="4">
        <f t="shared" si="10"/>
        <v>0</v>
      </c>
      <c r="BC13" s="6"/>
      <c r="BD13" s="4" t="s">
        <v>41</v>
      </c>
      <c r="BE13" s="3">
        <v>0</v>
      </c>
      <c r="BF13" s="3">
        <v>0</v>
      </c>
      <c r="BG13" s="3">
        <f t="shared" si="11"/>
        <v>0</v>
      </c>
      <c r="BH13" s="7"/>
      <c r="BI13" s="3" t="s">
        <v>43</v>
      </c>
      <c r="BJ13" s="4">
        <v>9.5238095238095205E-2</v>
      </c>
      <c r="BK13" s="4">
        <v>0.29710175718617499</v>
      </c>
      <c r="BL13" s="4">
        <f t="shared" si="12"/>
        <v>0.5</v>
      </c>
      <c r="BM13" s="6" t="s">
        <v>63</v>
      </c>
      <c r="BN13" s="4" t="s">
        <v>41</v>
      </c>
      <c r="BO13" s="1" t="s">
        <v>44</v>
      </c>
    </row>
    <row r="14" spans="1:67" ht="37.25" customHeight="1" x14ac:dyDescent="0.45">
      <c r="A14" s="1"/>
      <c r="B14" s="8">
        <f>AVERAGE(B2:B13)</f>
        <v>0.40962662112680098</v>
      </c>
      <c r="C14" s="8">
        <f>SQRT(SUMSQ(C2:C13) )/ COUNT(C2:C13)</f>
        <v>0.14850170404196586</v>
      </c>
      <c r="D14" s="9">
        <f>SUM(B14:C14)</f>
        <v>0.55812832516876687</v>
      </c>
      <c r="E14" s="1"/>
      <c r="F14" s="1"/>
      <c r="G14" s="8">
        <f>AVERAGE(G2:G13)</f>
        <v>0.20520941676492585</v>
      </c>
      <c r="H14" s="8">
        <f>SQRT(SUMSQ(H2:H13) )/ COUNT(H2:H13)</f>
        <v>0.11919223182315693</v>
      </c>
      <c r="I14" s="9">
        <f>SUM(G14:H14)</f>
        <v>0.32440164858808279</v>
      </c>
      <c r="J14" s="1"/>
      <c r="K14" s="1"/>
      <c r="L14" s="8">
        <f>AVERAGE(L2:L13)</f>
        <v>0.17582649983036761</v>
      </c>
      <c r="M14" s="8">
        <f>SQRT(SUMSQ(M2:M13) )/ COUNT(M2:M13)</f>
        <v>0.11935630729301518</v>
      </c>
      <c r="N14" s="9">
        <f>SUM(L14:M14)</f>
        <v>0.2951828071233828</v>
      </c>
      <c r="O14" s="1"/>
      <c r="P14" s="1"/>
      <c r="Q14" s="8">
        <f>AVERAGE(Q2:Q13)</f>
        <v>-0.15121822708307514</v>
      </c>
      <c r="R14" s="8">
        <f>SQRT(SUMSQ(R2:R13) )/ COUNT(R2:R13)</f>
        <v>7.90046385652977E-2</v>
      </c>
      <c r="S14" s="9">
        <f>SUM(Q14:R14)</f>
        <v>-7.2213588517777441E-2</v>
      </c>
      <c r="T14" s="1"/>
      <c r="U14" s="1"/>
      <c r="V14" s="8">
        <f>AVERAGE(V2:V13)</f>
        <v>0.44007277945470363</v>
      </c>
      <c r="W14" s="8">
        <f>SQRT(SUMSQ(W2:W13) )/ COUNT(W2:W13)</f>
        <v>0.14619665816487701</v>
      </c>
      <c r="X14" s="9">
        <f>SUM(V14:W14)</f>
        <v>0.58626943761958061</v>
      </c>
      <c r="Y14" s="1"/>
      <c r="Z14" s="1"/>
      <c r="AA14" s="8">
        <f>AVERAGE(AA2:AA13)</f>
        <v>0.31108601082393611</v>
      </c>
      <c r="AB14" s="8">
        <f>SQRT(SUMSQ(AB2:AB13) )/ COUNT(AB2:AB13)</f>
        <v>0.17484914386549236</v>
      </c>
      <c r="AC14" s="9">
        <f>SUM(AA14:AB14)</f>
        <v>0.48593515468942849</v>
      </c>
      <c r="AD14" s="1"/>
      <c r="AE14" s="1"/>
      <c r="AF14" s="8">
        <f>AVERAGE(AF2:AF13)</f>
        <v>0.4418613958320976</v>
      </c>
      <c r="AG14" s="8">
        <f>SQRT(SUMSQ(AG2:AG13) )/ COUNT(AG2:AG13)</f>
        <v>0.13644520074197877</v>
      </c>
      <c r="AH14" s="9">
        <f>SUM(AF14:AG14)</f>
        <v>0.57830659657407635</v>
      </c>
      <c r="AI14" s="1"/>
      <c r="AJ14" s="1"/>
      <c r="AK14" s="8">
        <f>AVERAGE(AK2:AK13)</f>
        <v>0.29104516698420341</v>
      </c>
      <c r="AL14" s="8">
        <f>SQRT(SUMSQ(AL2:AL13) )/ COUNT(AL2:AL13)</f>
        <v>0.10659594882841705</v>
      </c>
      <c r="AM14" s="9">
        <f>SUM(AK14:AL14)</f>
        <v>0.39764111581262046</v>
      </c>
      <c r="AN14" s="1"/>
      <c r="AO14" s="1"/>
      <c r="AP14" s="8">
        <f>AVERAGE(AP2:AP13)</f>
        <v>0.15695439341514758</v>
      </c>
      <c r="AQ14" s="8">
        <f>SQRT(SUMSQ(AQ2:AQ13) )/ COUNT(AQ2:AQ13)</f>
        <v>7.7556854189246252E-2</v>
      </c>
      <c r="AR14" s="9">
        <f>SUM(AP14:AQ14)</f>
        <v>0.23451124760439385</v>
      </c>
      <c r="AS14" s="1"/>
      <c r="AT14" s="1"/>
      <c r="AU14" s="8">
        <f>AVERAGE(AU2:AU13)</f>
        <v>0.10523416254638518</v>
      </c>
      <c r="AV14" s="8">
        <f>SQRT(SUMSQ(AV2:AV13) )/ COUNT(AV2:AV13)</f>
        <v>7.7813256621918486E-2</v>
      </c>
      <c r="AW14" s="9">
        <f>SUM(AU14:AV14)</f>
        <v>0.18304741916830367</v>
      </c>
      <c r="AX14" s="1"/>
      <c r="AY14" s="1"/>
      <c r="AZ14" s="8">
        <f>AVERAGE(AZ2:AZ13)</f>
        <v>8.7659551060814314E-2</v>
      </c>
      <c r="BA14" s="8">
        <f>SQRT(SUMSQ(BA2:BA13) )/ COUNT(BA2:BA13)</f>
        <v>7.9787671657699774E-2</v>
      </c>
      <c r="BB14" s="9">
        <f>SUM(AZ14:BA14)</f>
        <v>0.16744722271851409</v>
      </c>
      <c r="BC14" s="1"/>
      <c r="BD14" s="1"/>
      <c r="BE14" s="8">
        <f>AVERAGE(BE2:BE13)</f>
        <v>8.423087544877108E-3</v>
      </c>
      <c r="BF14" s="8">
        <f>SQRT(SUMSQ(BF2:BF13) )/ COUNT(BF2:BF13)</f>
        <v>2.6335153823907942E-2</v>
      </c>
      <c r="BG14" s="9">
        <f>SUM(BE14:BF14)</f>
        <v>3.4758241368785053E-2</v>
      </c>
      <c r="BH14" s="1"/>
      <c r="BI14" s="1"/>
      <c r="BJ14" s="8">
        <f>AVERAGE(BJ2:BJ13)</f>
        <v>4.881883132860982E-2</v>
      </c>
      <c r="BK14" s="8">
        <f>SQRT(SUMSQ(BK2:BK13) )/ COUNT(BK2:BK13)</f>
        <v>6.1482207801496998E-2</v>
      </c>
      <c r="BL14" s="9">
        <f>SUM(BJ14:BK14)</f>
        <v>0.11030103913010682</v>
      </c>
      <c r="BM14" s="1"/>
      <c r="BN14" s="1"/>
      <c r="BO14" s="1"/>
    </row>
    <row r="15" spans="1:67" ht="37.25" customHeight="1" x14ac:dyDescent="0.45">
      <c r="B15" s="5">
        <v>0</v>
      </c>
      <c r="C15" s="5">
        <v>0.1</v>
      </c>
      <c r="D15" s="5">
        <f>B14+(C14/4)</f>
        <v>0.44675204713729244</v>
      </c>
    </row>
    <row r="16" spans="1:67" ht="37.25" customHeight="1" x14ac:dyDescent="0.45"/>
    <row r="17" spans="1:17" ht="37.25" customHeight="1" x14ac:dyDescent="0.45"/>
    <row r="18" spans="1:17" ht="37.25" customHeight="1" x14ac:dyDescent="0.45"/>
    <row r="19" spans="1:17" ht="37.25" customHeight="1" x14ac:dyDescent="0.45"/>
    <row r="20" spans="1:17" ht="37.25" customHeight="1" x14ac:dyDescent="0.45"/>
    <row r="21" spans="1:17" ht="37.25" customHeight="1" x14ac:dyDescent="0.45">
      <c r="A21" s="1" t="s">
        <v>0</v>
      </c>
      <c r="B21" s="5" t="s">
        <v>47</v>
      </c>
      <c r="C21" s="5" t="s">
        <v>49</v>
      </c>
      <c r="D21" s="5" t="s">
        <v>50</v>
      </c>
      <c r="E21" s="5" t="s">
        <v>46</v>
      </c>
      <c r="F21" s="5" t="s">
        <v>52</v>
      </c>
      <c r="G21" s="5" t="s">
        <v>53</v>
      </c>
      <c r="H21" s="5" t="s">
        <v>54</v>
      </c>
      <c r="I21" s="5" t="s">
        <v>55</v>
      </c>
      <c r="J21" s="5" t="s">
        <v>56</v>
      </c>
      <c r="K21" s="5" t="s">
        <v>58</v>
      </c>
      <c r="L21" s="5" t="s">
        <v>60</v>
      </c>
      <c r="M21" s="5" t="s">
        <v>61</v>
      </c>
      <c r="N21" s="5" t="s">
        <v>62</v>
      </c>
    </row>
    <row r="22" spans="1:17" ht="37.25" customHeight="1" x14ac:dyDescent="0.45">
      <c r="A22" s="10">
        <v>2</v>
      </c>
      <c r="B22" s="11" t="s">
        <v>47</v>
      </c>
      <c r="C22" s="10" t="s">
        <v>42</v>
      </c>
      <c r="D22" s="11" t="s">
        <v>50</v>
      </c>
      <c r="E22" s="11" t="s">
        <v>46</v>
      </c>
      <c r="F22" s="11" t="s">
        <v>43</v>
      </c>
      <c r="G22" s="11" t="s">
        <v>41</v>
      </c>
      <c r="H22" s="11" t="s">
        <v>43</v>
      </c>
      <c r="I22" s="11" t="s">
        <v>42</v>
      </c>
      <c r="J22" s="11" t="s">
        <v>43</v>
      </c>
      <c r="K22" s="11" t="s">
        <v>43</v>
      </c>
      <c r="L22" s="11" t="s">
        <v>43</v>
      </c>
      <c r="M22" s="11" t="s">
        <v>61</v>
      </c>
      <c r="N22" s="11" t="s">
        <v>41</v>
      </c>
      <c r="O22" s="5">
        <v>4</v>
      </c>
      <c r="P22" s="12">
        <v>4</v>
      </c>
      <c r="Q22" s="12">
        <v>0.5</v>
      </c>
    </row>
    <row r="23" spans="1:17" ht="37.25" customHeight="1" x14ac:dyDescent="0.45">
      <c r="A23" s="10">
        <v>5</v>
      </c>
      <c r="B23" s="11" t="s">
        <v>47</v>
      </c>
      <c r="C23" s="11" t="s">
        <v>49</v>
      </c>
      <c r="D23" s="11" t="s">
        <v>42</v>
      </c>
      <c r="E23" s="11" t="s">
        <v>42</v>
      </c>
      <c r="F23" s="11" t="s">
        <v>41</v>
      </c>
      <c r="G23" s="11" t="s">
        <v>43</v>
      </c>
      <c r="H23" s="11" t="s">
        <v>43</v>
      </c>
      <c r="I23" s="11" t="s">
        <v>55</v>
      </c>
      <c r="J23" s="11" t="s">
        <v>56</v>
      </c>
      <c r="K23" s="11" t="s">
        <v>58</v>
      </c>
      <c r="L23" s="11" t="s">
        <v>41</v>
      </c>
      <c r="M23" s="11" t="s">
        <v>43</v>
      </c>
      <c r="N23" s="11" t="s">
        <v>41</v>
      </c>
      <c r="O23" s="5">
        <v>5</v>
      </c>
      <c r="P23" s="12">
        <v>5</v>
      </c>
      <c r="Q23" s="12">
        <v>1</v>
      </c>
    </row>
    <row r="24" spans="1:17" ht="37.25" customHeight="1" x14ac:dyDescent="0.45">
      <c r="A24" s="1">
        <v>7</v>
      </c>
      <c r="B24" s="2"/>
      <c r="C24" s="7" t="s">
        <v>49</v>
      </c>
      <c r="D24" s="6"/>
      <c r="E24" s="7"/>
      <c r="F24" s="6"/>
      <c r="G24" s="7"/>
      <c r="H24" s="6"/>
      <c r="I24" s="7" t="s">
        <v>55</v>
      </c>
      <c r="J24" s="6"/>
      <c r="K24" s="7"/>
      <c r="L24" s="6"/>
      <c r="M24" s="7"/>
      <c r="N24" s="6"/>
      <c r="O24" s="5">
        <v>2</v>
      </c>
      <c r="P24" s="13"/>
      <c r="Q24" s="13"/>
    </row>
    <row r="25" spans="1:17" ht="37.25" customHeight="1" x14ac:dyDescent="0.45">
      <c r="A25" s="1">
        <v>12</v>
      </c>
      <c r="B25" s="2"/>
      <c r="C25" s="7" t="s">
        <v>49</v>
      </c>
      <c r="D25" s="6"/>
      <c r="E25" s="7"/>
      <c r="F25" s="6"/>
      <c r="G25" s="7"/>
      <c r="H25" s="6"/>
      <c r="I25" s="7" t="s">
        <v>55</v>
      </c>
      <c r="J25" s="6" t="s">
        <v>56</v>
      </c>
      <c r="K25" s="7"/>
      <c r="L25" s="6"/>
      <c r="M25" s="7"/>
      <c r="N25" s="6"/>
      <c r="O25" s="5">
        <v>3</v>
      </c>
    </row>
    <row r="26" spans="1:17" ht="37.25" customHeight="1" x14ac:dyDescent="0.45">
      <c r="A26" s="1">
        <v>17</v>
      </c>
      <c r="B26" s="2"/>
      <c r="C26" s="7"/>
      <c r="D26" s="6" t="s">
        <v>50</v>
      </c>
      <c r="E26" s="7"/>
      <c r="F26" s="6"/>
      <c r="G26" s="7"/>
      <c r="H26" s="6" t="s">
        <v>54</v>
      </c>
      <c r="I26" s="7"/>
      <c r="J26" s="6"/>
      <c r="K26" s="7"/>
      <c r="L26" s="6" t="s">
        <v>59</v>
      </c>
      <c r="M26" s="7"/>
      <c r="N26" s="6"/>
      <c r="O26" s="5">
        <v>2.5</v>
      </c>
    </row>
    <row r="27" spans="1:17" ht="37.25" customHeight="1" x14ac:dyDescent="0.45">
      <c r="A27" s="10">
        <v>20</v>
      </c>
      <c r="B27" s="11" t="s">
        <v>48</v>
      </c>
      <c r="C27" s="11" t="s">
        <v>49</v>
      </c>
      <c r="D27" s="11" t="s">
        <v>42</v>
      </c>
      <c r="E27" s="11" t="s">
        <v>43</v>
      </c>
      <c r="F27" s="11" t="s">
        <v>52</v>
      </c>
      <c r="G27" s="11" t="s">
        <v>41</v>
      </c>
      <c r="H27" s="11" t="s">
        <v>43</v>
      </c>
      <c r="I27" s="11" t="s">
        <v>55</v>
      </c>
      <c r="J27" s="11" t="s">
        <v>57</v>
      </c>
      <c r="K27" s="11" t="s">
        <v>41</v>
      </c>
      <c r="L27" s="11" t="s">
        <v>43</v>
      </c>
      <c r="M27" s="11" t="s">
        <v>43</v>
      </c>
      <c r="N27" s="11" t="s">
        <v>43</v>
      </c>
      <c r="O27" s="5">
        <v>4</v>
      </c>
      <c r="P27" s="12">
        <v>5</v>
      </c>
      <c r="Q27" s="12">
        <v>1</v>
      </c>
    </row>
    <row r="28" spans="1:17" ht="37.25" customHeight="1" x14ac:dyDescent="0.45">
      <c r="A28" s="10">
        <v>21</v>
      </c>
      <c r="B28" s="11" t="s">
        <v>47</v>
      </c>
      <c r="C28" s="11" t="s">
        <v>49</v>
      </c>
      <c r="D28" s="11" t="s">
        <v>42</v>
      </c>
      <c r="E28" s="11" t="s">
        <v>43</v>
      </c>
      <c r="F28" s="11" t="s">
        <v>41</v>
      </c>
      <c r="G28" s="11" t="s">
        <v>43</v>
      </c>
      <c r="H28" s="11" t="s">
        <v>42</v>
      </c>
      <c r="I28" s="11" t="s">
        <v>43</v>
      </c>
      <c r="J28" s="11" t="s">
        <v>41</v>
      </c>
      <c r="K28" s="11" t="s">
        <v>41</v>
      </c>
      <c r="L28" s="11" t="s">
        <v>43</v>
      </c>
      <c r="M28" s="11" t="s">
        <v>43</v>
      </c>
      <c r="N28" s="11" t="s">
        <v>63</v>
      </c>
      <c r="O28" s="5">
        <v>2.5</v>
      </c>
      <c r="P28" s="12">
        <v>2.5</v>
      </c>
      <c r="Q28" s="12">
        <v>0.5</v>
      </c>
    </row>
    <row r="29" spans="1:17" ht="37.25" customHeight="1" x14ac:dyDescent="0.45">
      <c r="A29" s="1">
        <v>27</v>
      </c>
      <c r="B29" s="2"/>
      <c r="C29" s="3"/>
      <c r="D29" s="6" t="s">
        <v>50</v>
      </c>
      <c r="E29" s="7" t="s">
        <v>46</v>
      </c>
      <c r="F29" s="6"/>
      <c r="G29" s="7"/>
      <c r="H29" s="6"/>
      <c r="I29" s="7"/>
      <c r="J29" s="6"/>
      <c r="K29" s="7"/>
      <c r="L29" s="6"/>
      <c r="M29" s="7" t="s">
        <v>61</v>
      </c>
      <c r="N29" s="6"/>
      <c r="O29" s="5">
        <v>3</v>
      </c>
    </row>
    <row r="30" spans="1:17" ht="37.25" customHeight="1" x14ac:dyDescent="0.45">
      <c r="A30" s="1">
        <v>29</v>
      </c>
      <c r="B30" s="2"/>
      <c r="C30" s="3"/>
      <c r="D30" s="6" t="s">
        <v>50</v>
      </c>
      <c r="E30" s="7"/>
      <c r="F30" s="6" t="s">
        <v>52</v>
      </c>
      <c r="G30" s="7" t="s">
        <v>53</v>
      </c>
      <c r="H30" s="6" t="s">
        <v>54</v>
      </c>
      <c r="I30" s="7"/>
      <c r="J30" s="6"/>
      <c r="K30" s="7"/>
      <c r="L30" s="6" t="s">
        <v>60</v>
      </c>
      <c r="M30" s="7"/>
      <c r="N30" s="6" t="s">
        <v>62</v>
      </c>
      <c r="O30" s="5">
        <v>6</v>
      </c>
    </row>
    <row r="31" spans="1:17" ht="37.25" customHeight="1" x14ac:dyDescent="0.45">
      <c r="A31" s="1">
        <v>33</v>
      </c>
      <c r="B31" s="2"/>
      <c r="C31" s="3"/>
      <c r="D31" s="6" t="s">
        <v>50</v>
      </c>
      <c r="E31" s="7" t="s">
        <v>46</v>
      </c>
      <c r="F31" s="6"/>
      <c r="G31" s="7" t="s">
        <v>53</v>
      </c>
      <c r="H31" s="6"/>
      <c r="I31" s="7"/>
      <c r="J31" s="6"/>
      <c r="K31" s="7" t="s">
        <v>58</v>
      </c>
      <c r="L31" s="6"/>
      <c r="M31" s="7"/>
      <c r="N31" s="6" t="s">
        <v>63</v>
      </c>
      <c r="O31" s="5">
        <v>4.5</v>
      </c>
    </row>
    <row r="32" spans="1:17" ht="37.25" customHeight="1" x14ac:dyDescent="0.45">
      <c r="A32" s="1">
        <v>34</v>
      </c>
      <c r="B32" s="2"/>
      <c r="C32" s="3"/>
      <c r="D32" s="6" t="s">
        <v>50</v>
      </c>
      <c r="E32" s="7"/>
      <c r="F32" s="6" t="s">
        <v>52</v>
      </c>
      <c r="G32" s="7"/>
      <c r="H32" s="6" t="s">
        <v>54</v>
      </c>
      <c r="I32" s="7"/>
      <c r="J32" s="6"/>
      <c r="K32" s="7"/>
      <c r="L32" s="6" t="s">
        <v>59</v>
      </c>
      <c r="M32" s="7"/>
      <c r="N32" s="6" t="s">
        <v>63</v>
      </c>
      <c r="O32" s="5">
        <v>4</v>
      </c>
    </row>
    <row r="33" spans="1:15" ht="37.25" customHeight="1" x14ac:dyDescent="0.45">
      <c r="A33" s="1">
        <v>36</v>
      </c>
      <c r="B33" s="2"/>
      <c r="C33" s="3"/>
      <c r="D33" s="6" t="s">
        <v>51</v>
      </c>
      <c r="E33" s="7"/>
      <c r="F33" s="6"/>
      <c r="G33" s="7" t="s">
        <v>53</v>
      </c>
      <c r="H33" s="6"/>
      <c r="I33" s="7"/>
      <c r="J33" s="6"/>
      <c r="K33" s="7"/>
      <c r="L33" s="6"/>
      <c r="M33" s="7"/>
      <c r="N33" s="6" t="s">
        <v>63</v>
      </c>
      <c r="O33" s="5">
        <v>2</v>
      </c>
    </row>
    <row r="34" spans="1:15" ht="37.25" customHeight="1" x14ac:dyDescent="0.45"/>
    <row r="35" spans="1:15" ht="37.25" customHeight="1" x14ac:dyDescent="0.45"/>
    <row r="36" spans="1:15" ht="37.25" customHeight="1" x14ac:dyDescent="0.45"/>
    <row r="37" spans="1:15" ht="37.25" customHeight="1" x14ac:dyDescent="0.45"/>
    <row r="38" spans="1:15" ht="37.25" customHeight="1" x14ac:dyDescent="0.45">
      <c r="A38" s="1" t="s">
        <v>0</v>
      </c>
    </row>
    <row r="39" spans="1:15" ht="37.25" customHeight="1" x14ac:dyDescent="0.45">
      <c r="A39" s="14">
        <v>2</v>
      </c>
      <c r="B39" s="14">
        <v>1</v>
      </c>
      <c r="C39" s="14">
        <v>0</v>
      </c>
      <c r="D39" s="14">
        <v>1</v>
      </c>
      <c r="E39" s="14">
        <v>1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>
        <v>0</v>
      </c>
      <c r="L39" s="14">
        <v>0</v>
      </c>
      <c r="M39" s="14">
        <v>1</v>
      </c>
      <c r="N39" s="14">
        <v>0</v>
      </c>
      <c r="O39" s="5">
        <f>SUM(B39:N39)</f>
        <v>4</v>
      </c>
    </row>
    <row r="40" spans="1:15" ht="37.25" customHeight="1" x14ac:dyDescent="0.45">
      <c r="A40" s="14">
        <v>5</v>
      </c>
      <c r="B40" s="14">
        <v>1</v>
      </c>
      <c r="C40" s="14">
        <v>1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1</v>
      </c>
      <c r="J40" s="14">
        <v>1</v>
      </c>
      <c r="K40" s="14">
        <v>1</v>
      </c>
      <c r="L40" s="14">
        <v>0</v>
      </c>
      <c r="M40" s="14">
        <v>0</v>
      </c>
      <c r="N40" s="14">
        <v>0</v>
      </c>
      <c r="O40" s="5">
        <f t="shared" ref="O40:O50" si="13">SUM(B40:N40)</f>
        <v>5</v>
      </c>
    </row>
    <row r="41" spans="1:15" ht="37.25" customHeight="1" x14ac:dyDescent="0.45">
      <c r="A41" s="1">
        <v>7</v>
      </c>
      <c r="B41" s="2">
        <v>0</v>
      </c>
      <c r="C41" s="3">
        <v>1</v>
      </c>
      <c r="D41" s="4">
        <v>0</v>
      </c>
      <c r="E41" s="3">
        <v>0</v>
      </c>
      <c r="F41" s="4">
        <v>0</v>
      </c>
      <c r="G41" s="3">
        <v>0</v>
      </c>
      <c r="H41" s="4">
        <v>0</v>
      </c>
      <c r="I41" s="3">
        <v>1</v>
      </c>
      <c r="J41" s="4">
        <v>0</v>
      </c>
      <c r="K41" s="3">
        <v>0</v>
      </c>
      <c r="L41" s="4">
        <v>0</v>
      </c>
      <c r="M41" s="3">
        <v>0</v>
      </c>
      <c r="N41" s="4">
        <v>0</v>
      </c>
      <c r="O41" s="5">
        <f t="shared" si="13"/>
        <v>2</v>
      </c>
    </row>
    <row r="42" spans="1:15" ht="37.25" customHeight="1" x14ac:dyDescent="0.45">
      <c r="A42" s="1">
        <v>12</v>
      </c>
      <c r="B42" s="2">
        <v>0</v>
      </c>
      <c r="C42" s="3">
        <v>1</v>
      </c>
      <c r="D42" s="4">
        <v>0</v>
      </c>
      <c r="E42" s="3">
        <v>0</v>
      </c>
      <c r="F42" s="4">
        <v>0</v>
      </c>
      <c r="G42" s="3">
        <v>0</v>
      </c>
      <c r="H42" s="4">
        <v>0</v>
      </c>
      <c r="I42" s="3">
        <v>1</v>
      </c>
      <c r="J42" s="4">
        <v>1</v>
      </c>
      <c r="K42" s="3">
        <v>0</v>
      </c>
      <c r="L42" s="4">
        <v>0</v>
      </c>
      <c r="M42" s="3">
        <v>0</v>
      </c>
      <c r="N42" s="4">
        <v>0</v>
      </c>
      <c r="O42" s="5">
        <f t="shared" si="13"/>
        <v>3</v>
      </c>
    </row>
    <row r="43" spans="1:15" ht="37.25" customHeight="1" x14ac:dyDescent="0.45">
      <c r="A43" s="1">
        <v>17</v>
      </c>
      <c r="B43" s="2">
        <v>0</v>
      </c>
      <c r="C43" s="3">
        <v>0</v>
      </c>
      <c r="D43" s="4">
        <v>1</v>
      </c>
      <c r="E43" s="3">
        <v>0</v>
      </c>
      <c r="F43" s="4">
        <v>0</v>
      </c>
      <c r="G43" s="3">
        <v>0</v>
      </c>
      <c r="H43" s="4">
        <v>1</v>
      </c>
      <c r="I43" s="3">
        <v>0</v>
      </c>
      <c r="J43" s="4">
        <v>0</v>
      </c>
      <c r="K43" s="3">
        <v>0</v>
      </c>
      <c r="L43" s="4">
        <v>0.5</v>
      </c>
      <c r="M43" s="3">
        <v>0</v>
      </c>
      <c r="N43" s="4">
        <v>0</v>
      </c>
      <c r="O43" s="5">
        <f t="shared" si="13"/>
        <v>2.5</v>
      </c>
    </row>
    <row r="44" spans="1:15" ht="37.25" customHeight="1" x14ac:dyDescent="0.45">
      <c r="A44" s="14">
        <v>20</v>
      </c>
      <c r="B44" s="14">
        <v>0.5</v>
      </c>
      <c r="C44" s="14">
        <v>1</v>
      </c>
      <c r="D44" s="14">
        <v>0</v>
      </c>
      <c r="E44" s="14">
        <v>0</v>
      </c>
      <c r="F44" s="14">
        <v>1</v>
      </c>
      <c r="G44" s="14">
        <v>0</v>
      </c>
      <c r="H44" s="14">
        <v>0</v>
      </c>
      <c r="I44" s="14">
        <v>1</v>
      </c>
      <c r="J44" s="14">
        <v>0.5</v>
      </c>
      <c r="K44" s="14">
        <v>0</v>
      </c>
      <c r="L44" s="14">
        <v>0</v>
      </c>
      <c r="M44" s="14">
        <v>0</v>
      </c>
      <c r="N44" s="14">
        <v>0</v>
      </c>
      <c r="O44" s="5">
        <f t="shared" si="13"/>
        <v>4</v>
      </c>
    </row>
    <row r="45" spans="1:15" ht="37.25" customHeight="1" x14ac:dyDescent="0.45">
      <c r="A45" s="14">
        <v>21</v>
      </c>
      <c r="B45" s="14">
        <v>1</v>
      </c>
      <c r="C45" s="14">
        <v>1</v>
      </c>
      <c r="D45" s="14">
        <v>0</v>
      </c>
      <c r="E45" s="14">
        <v>0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0</v>
      </c>
      <c r="N45" s="14">
        <v>0.5</v>
      </c>
      <c r="O45" s="5">
        <f t="shared" si="13"/>
        <v>2.5</v>
      </c>
    </row>
    <row r="46" spans="1:15" ht="37.25" customHeight="1" x14ac:dyDescent="0.45">
      <c r="A46" s="1">
        <v>27</v>
      </c>
      <c r="B46" s="2">
        <v>0</v>
      </c>
      <c r="C46" s="3">
        <v>0</v>
      </c>
      <c r="D46" s="4">
        <v>1</v>
      </c>
      <c r="E46" s="3">
        <v>1</v>
      </c>
      <c r="F46" s="4">
        <v>0</v>
      </c>
      <c r="G46" s="3">
        <v>0</v>
      </c>
      <c r="H46" s="4">
        <v>0</v>
      </c>
      <c r="I46" s="3">
        <v>0</v>
      </c>
      <c r="J46" s="4">
        <v>0</v>
      </c>
      <c r="K46" s="3">
        <v>0</v>
      </c>
      <c r="L46" s="4">
        <v>0</v>
      </c>
      <c r="M46" s="3">
        <v>1</v>
      </c>
      <c r="N46" s="4">
        <v>0</v>
      </c>
      <c r="O46" s="5">
        <f t="shared" si="13"/>
        <v>3</v>
      </c>
    </row>
    <row r="47" spans="1:15" ht="37.25" customHeight="1" x14ac:dyDescent="0.45">
      <c r="A47" s="1">
        <v>29</v>
      </c>
      <c r="B47" s="2">
        <v>0</v>
      </c>
      <c r="C47" s="3">
        <v>0</v>
      </c>
      <c r="D47" s="4">
        <v>1</v>
      </c>
      <c r="E47" s="3">
        <v>0</v>
      </c>
      <c r="F47" s="4">
        <v>1</v>
      </c>
      <c r="G47" s="3">
        <v>1</v>
      </c>
      <c r="H47" s="4">
        <v>1</v>
      </c>
      <c r="I47" s="3">
        <v>0</v>
      </c>
      <c r="J47" s="4">
        <v>0</v>
      </c>
      <c r="K47" s="3">
        <v>0</v>
      </c>
      <c r="L47" s="4">
        <v>1</v>
      </c>
      <c r="M47" s="3">
        <v>0</v>
      </c>
      <c r="N47" s="4">
        <v>1</v>
      </c>
      <c r="O47" s="5">
        <f t="shared" si="13"/>
        <v>6</v>
      </c>
    </row>
    <row r="48" spans="1:15" ht="37.25" customHeight="1" x14ac:dyDescent="0.45">
      <c r="A48" s="1">
        <v>33</v>
      </c>
      <c r="B48" s="2">
        <v>0</v>
      </c>
      <c r="C48" s="3">
        <v>0</v>
      </c>
      <c r="D48" s="4">
        <v>1</v>
      </c>
      <c r="E48" s="3">
        <v>1</v>
      </c>
      <c r="F48" s="4">
        <v>0</v>
      </c>
      <c r="G48" s="3">
        <v>1</v>
      </c>
      <c r="H48" s="4">
        <v>0</v>
      </c>
      <c r="I48" s="3">
        <v>0</v>
      </c>
      <c r="J48" s="4">
        <v>0</v>
      </c>
      <c r="K48" s="3">
        <v>1</v>
      </c>
      <c r="L48" s="4">
        <v>0</v>
      </c>
      <c r="M48" s="3">
        <v>0</v>
      </c>
      <c r="N48" s="4">
        <v>0.5</v>
      </c>
      <c r="O48" s="5">
        <f t="shared" si="13"/>
        <v>4.5</v>
      </c>
    </row>
    <row r="49" spans="1:18" ht="37.25" customHeight="1" x14ac:dyDescent="0.45">
      <c r="A49" s="1">
        <v>34</v>
      </c>
      <c r="B49" s="2">
        <v>0</v>
      </c>
      <c r="C49" s="3">
        <v>0</v>
      </c>
      <c r="D49" s="4">
        <v>1</v>
      </c>
      <c r="E49" s="3">
        <v>0</v>
      </c>
      <c r="F49" s="4">
        <v>1</v>
      </c>
      <c r="G49" s="3">
        <v>0</v>
      </c>
      <c r="H49" s="4">
        <v>1</v>
      </c>
      <c r="I49" s="3">
        <v>0</v>
      </c>
      <c r="J49" s="4">
        <v>0</v>
      </c>
      <c r="K49" s="3">
        <v>0</v>
      </c>
      <c r="L49" s="4">
        <v>0.5</v>
      </c>
      <c r="M49" s="3">
        <v>0</v>
      </c>
      <c r="N49" s="4">
        <v>0.5</v>
      </c>
      <c r="O49" s="5">
        <f t="shared" si="13"/>
        <v>4</v>
      </c>
    </row>
    <row r="50" spans="1:18" ht="37.25" customHeight="1" x14ac:dyDescent="0.45">
      <c r="A50" s="1">
        <v>36</v>
      </c>
      <c r="B50" s="2">
        <v>0</v>
      </c>
      <c r="C50" s="3">
        <v>0</v>
      </c>
      <c r="D50" s="4">
        <v>0.5</v>
      </c>
      <c r="E50" s="3">
        <v>0</v>
      </c>
      <c r="F50" s="4">
        <v>0</v>
      </c>
      <c r="G50" s="3">
        <v>1</v>
      </c>
      <c r="H50" s="4">
        <v>0</v>
      </c>
      <c r="I50" s="3">
        <v>0</v>
      </c>
      <c r="J50" s="4">
        <v>0</v>
      </c>
      <c r="K50" s="3">
        <v>0</v>
      </c>
      <c r="L50" s="4">
        <v>0</v>
      </c>
      <c r="M50" s="3">
        <v>0</v>
      </c>
      <c r="N50" s="4">
        <v>0.5</v>
      </c>
      <c r="O50" s="5">
        <f t="shared" si="13"/>
        <v>2</v>
      </c>
    </row>
    <row r="55" spans="1:18" ht="73.25" customHeight="1" x14ac:dyDescent="0.45">
      <c r="A55" s="1" t="s">
        <v>0</v>
      </c>
      <c r="B55" s="5" t="s">
        <v>47</v>
      </c>
      <c r="C55" s="5" t="s">
        <v>49</v>
      </c>
      <c r="D55" s="5" t="s">
        <v>50</v>
      </c>
      <c r="E55" s="5" t="s">
        <v>46</v>
      </c>
      <c r="F55" s="5" t="s">
        <v>52</v>
      </c>
      <c r="G55" s="5" t="s">
        <v>53</v>
      </c>
      <c r="H55" s="5" t="s">
        <v>54</v>
      </c>
      <c r="I55" s="5" t="s">
        <v>55</v>
      </c>
      <c r="J55" s="5" t="s">
        <v>56</v>
      </c>
      <c r="K55" s="5" t="s">
        <v>58</v>
      </c>
      <c r="L55" s="5" t="s">
        <v>60</v>
      </c>
      <c r="M55" s="5" t="s">
        <v>61</v>
      </c>
      <c r="N55" s="5" t="s">
        <v>62</v>
      </c>
    </row>
    <row r="56" spans="1:18" ht="73.25" customHeight="1" x14ac:dyDescent="0.45">
      <c r="A56" s="18">
        <v>2</v>
      </c>
      <c r="B56" s="18" t="s">
        <v>47</v>
      </c>
      <c r="C56" s="18" t="s">
        <v>42</v>
      </c>
      <c r="D56" s="18" t="s">
        <v>50</v>
      </c>
      <c r="E56" s="18" t="s">
        <v>46</v>
      </c>
      <c r="F56" s="18" t="s">
        <v>43</v>
      </c>
      <c r="G56" s="18" t="s">
        <v>41</v>
      </c>
      <c r="H56" s="18" t="s">
        <v>43</v>
      </c>
      <c r="I56" s="18" t="s">
        <v>42</v>
      </c>
      <c r="J56" s="18" t="s">
        <v>43</v>
      </c>
      <c r="K56" s="18" t="s">
        <v>43</v>
      </c>
      <c r="L56" s="18" t="s">
        <v>43</v>
      </c>
      <c r="M56" s="18" t="s">
        <v>61</v>
      </c>
      <c r="N56" s="18" t="s">
        <v>41</v>
      </c>
      <c r="O56" s="20">
        <v>4</v>
      </c>
      <c r="P56" s="19">
        <v>4</v>
      </c>
      <c r="Q56" s="19">
        <v>0.5</v>
      </c>
      <c r="R56" s="20"/>
    </row>
    <row r="57" spans="1:18" ht="73.25" customHeight="1" x14ac:dyDescent="0.45">
      <c r="A57" s="18">
        <v>5</v>
      </c>
      <c r="B57" s="18" t="s">
        <v>47</v>
      </c>
      <c r="C57" s="18" t="s">
        <v>49</v>
      </c>
      <c r="D57" s="18" t="s">
        <v>42</v>
      </c>
      <c r="E57" s="18" t="s">
        <v>42</v>
      </c>
      <c r="F57" s="18" t="s">
        <v>41</v>
      </c>
      <c r="G57" s="18" t="s">
        <v>43</v>
      </c>
      <c r="H57" s="18" t="s">
        <v>43</v>
      </c>
      <c r="I57" s="18" t="s">
        <v>55</v>
      </c>
      <c r="J57" s="18" t="s">
        <v>56</v>
      </c>
      <c r="K57" s="18" t="s">
        <v>58</v>
      </c>
      <c r="L57" s="18" t="s">
        <v>41</v>
      </c>
      <c r="M57" s="18" t="s">
        <v>43</v>
      </c>
      <c r="N57" s="18" t="s">
        <v>41</v>
      </c>
      <c r="O57" s="20">
        <v>5</v>
      </c>
      <c r="P57" s="19">
        <v>5</v>
      </c>
      <c r="Q57" s="19">
        <v>1</v>
      </c>
      <c r="R57" s="20"/>
    </row>
    <row r="58" spans="1:18" ht="73.25" customHeight="1" x14ac:dyDescent="0.45">
      <c r="A58" s="18">
        <v>20</v>
      </c>
      <c r="B58" s="18" t="s">
        <v>48</v>
      </c>
      <c r="C58" s="18" t="s">
        <v>49</v>
      </c>
      <c r="D58" s="18" t="s">
        <v>42</v>
      </c>
      <c r="E58" s="18" t="s">
        <v>43</v>
      </c>
      <c r="F58" s="18" t="s">
        <v>52</v>
      </c>
      <c r="G58" s="18" t="s">
        <v>41</v>
      </c>
      <c r="H58" s="18" t="s">
        <v>43</v>
      </c>
      <c r="I58" s="18" t="s">
        <v>55</v>
      </c>
      <c r="J58" s="18" t="s">
        <v>57</v>
      </c>
      <c r="K58" s="18" t="s">
        <v>41</v>
      </c>
      <c r="L58" s="18" t="s">
        <v>43</v>
      </c>
      <c r="M58" s="18" t="s">
        <v>43</v>
      </c>
      <c r="N58" s="18" t="s">
        <v>43</v>
      </c>
      <c r="O58" s="20">
        <v>4</v>
      </c>
      <c r="P58" s="19">
        <v>5</v>
      </c>
      <c r="Q58" s="19">
        <v>1</v>
      </c>
      <c r="R58" s="20"/>
    </row>
    <row r="59" spans="1:18" ht="73.25" customHeight="1" x14ac:dyDescent="0.45">
      <c r="A59" s="18">
        <v>21</v>
      </c>
      <c r="B59" s="18" t="s">
        <v>47</v>
      </c>
      <c r="C59" s="18" t="s">
        <v>49</v>
      </c>
      <c r="D59" s="18" t="s">
        <v>42</v>
      </c>
      <c r="E59" s="18" t="s">
        <v>43</v>
      </c>
      <c r="F59" s="18" t="s">
        <v>41</v>
      </c>
      <c r="G59" s="18" t="s">
        <v>43</v>
      </c>
      <c r="H59" s="18" t="s">
        <v>42</v>
      </c>
      <c r="I59" s="18" t="s">
        <v>43</v>
      </c>
      <c r="J59" s="18" t="s">
        <v>41</v>
      </c>
      <c r="K59" s="18" t="s">
        <v>41</v>
      </c>
      <c r="L59" s="18" t="s">
        <v>43</v>
      </c>
      <c r="M59" s="18" t="s">
        <v>43</v>
      </c>
      <c r="N59" s="18" t="s">
        <v>63</v>
      </c>
      <c r="O59" s="20">
        <v>2.5</v>
      </c>
      <c r="P59" s="19">
        <v>2.5</v>
      </c>
      <c r="Q59" s="19">
        <v>0.5</v>
      </c>
      <c r="R59" s="20"/>
    </row>
  </sheetData>
  <sortState xmlns:xlrd2="http://schemas.microsoft.com/office/spreadsheetml/2017/richdata2" ref="A2:BO13">
    <sortCondition ref="BO1:BO13"/>
  </sortState>
  <phoneticPr fontId="18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all_centroidi_annotated_36_2020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Laura Pavirani</cp:lastModifiedBy>
  <dcterms:created xsi:type="dcterms:W3CDTF">2025-11-17T10:51:43Z</dcterms:created>
  <dcterms:modified xsi:type="dcterms:W3CDTF">2025-11-20T15:00:40Z</dcterms:modified>
</cp:coreProperties>
</file>